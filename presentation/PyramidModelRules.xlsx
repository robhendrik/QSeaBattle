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ocs.philips.com/personal/r_hendriks_philips_com/Documents/SW Projects/QSeaBattle/presentation/"/>
    </mc:Choice>
  </mc:AlternateContent>
  <xr:revisionPtr revIDLastSave="374" documentId="8_{20096A4A-BA9D-483F-A080-94665FEE1233}" xr6:coauthVersionLast="47" xr6:coauthVersionMax="47" xr10:uidLastSave="{F0AAD95A-8EB7-4AF5-96E6-634B2BAB8C58}"/>
  <bookViews>
    <workbookView xWindow="-108" yWindow="-108" windowWidth="23256" windowHeight="12456" xr2:uid="{00000000-000D-0000-FFFF-FFFF00000000}"/>
  </bookViews>
  <sheets>
    <sheet name="Field2,eq=0" sheetId="7" r:id="rId1"/>
    <sheet name="Field8,eq=0" sheetId="4" r:id="rId2"/>
    <sheet name="Field8,eq=1" sheetId="1" r:id="rId3"/>
    <sheet name="Field16,eq=0" sheetId="5" r:id="rId4"/>
    <sheet name="Field16,eq=1" sheetId="2" r:id="rId5"/>
    <sheet name="Fiel48,eq=0" sheetId="6" r:id="rId6"/>
    <sheet name="Sheet3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7" l="1"/>
  <c r="M36" i="7"/>
  <c r="M35" i="7"/>
  <c r="M34" i="7"/>
  <c r="M33" i="7"/>
  <c r="N33" i="7"/>
  <c r="O42" i="7" s="1"/>
  <c r="N46" i="7"/>
  <c r="N45" i="7"/>
  <c r="N44" i="7"/>
  <c r="N43" i="7"/>
  <c r="N42" i="7"/>
  <c r="N41" i="7"/>
  <c r="I46" i="7"/>
  <c r="I45" i="7"/>
  <c r="I44" i="7"/>
  <c r="I43" i="7"/>
  <c r="I42" i="7"/>
  <c r="I41" i="7"/>
  <c r="O41" i="7"/>
  <c r="M46" i="7"/>
  <c r="M45" i="7"/>
  <c r="M44" i="7"/>
  <c r="M43" i="7"/>
  <c r="M42" i="7"/>
  <c r="M41" i="7"/>
  <c r="K46" i="7"/>
  <c r="K45" i="7"/>
  <c r="K44" i="7"/>
  <c r="K43" i="7"/>
  <c r="K42" i="7"/>
  <c r="K41" i="7"/>
  <c r="K34" i="7"/>
  <c r="G46" i="7"/>
  <c r="G45" i="7"/>
  <c r="G44" i="7"/>
  <c r="G43" i="7"/>
  <c r="G42" i="7"/>
  <c r="G41" i="7"/>
  <c r="P37" i="7" l="1"/>
  <c r="P36" i="7"/>
  <c r="P35" i="7"/>
  <c r="P34" i="7"/>
  <c r="P33" i="7"/>
  <c r="P32" i="7"/>
  <c r="N37" i="7"/>
  <c r="O46" i="7" s="1"/>
  <c r="N36" i="7"/>
  <c r="O45" i="7" s="1"/>
  <c r="N35" i="7"/>
  <c r="O44" i="7" s="1"/>
  <c r="N34" i="7"/>
  <c r="O43" i="7" s="1"/>
  <c r="N32" i="7"/>
  <c r="M32" i="7"/>
  <c r="Y31" i="7"/>
  <c r="Y32" i="7"/>
  <c r="Y33" i="7"/>
  <c r="Y34" i="7"/>
  <c r="K37" i="7"/>
  <c r="I37" i="7"/>
  <c r="G37" i="7"/>
  <c r="E37" i="7"/>
  <c r="I36" i="7"/>
  <c r="K36" i="7" s="1"/>
  <c r="G36" i="7"/>
  <c r="E36" i="7"/>
  <c r="K35" i="7"/>
  <c r="I35" i="7"/>
  <c r="G35" i="7"/>
  <c r="E35" i="7"/>
  <c r="I34" i="7"/>
  <c r="G34" i="7"/>
  <c r="E34" i="7"/>
  <c r="K33" i="7"/>
  <c r="I33" i="7"/>
  <c r="G33" i="7"/>
  <c r="E33" i="7"/>
  <c r="K32" i="7"/>
  <c r="I32" i="7"/>
  <c r="G32" i="7"/>
  <c r="E32" i="7"/>
  <c r="F26" i="7"/>
  <c r="D3" i="7"/>
  <c r="D13" i="7"/>
  <c r="E2" i="7"/>
  <c r="E9" i="7" s="1"/>
  <c r="D2" i="7"/>
  <c r="D9" i="7" s="1"/>
  <c r="D3" i="6"/>
  <c r="Q8" i="6" s="1"/>
  <c r="D18" i="6"/>
  <c r="E12" i="6"/>
  <c r="D12" i="6"/>
  <c r="G2" i="6"/>
  <c r="G8" i="6" s="1"/>
  <c r="F2" i="6"/>
  <c r="F8" i="6" s="1"/>
  <c r="E2" i="6"/>
  <c r="E8" i="6" s="1"/>
  <c r="D2" i="6"/>
  <c r="D8" i="6" s="1"/>
  <c r="D2" i="5"/>
  <c r="D12" i="5" s="1"/>
  <c r="E2" i="5"/>
  <c r="E12" i="5" s="1"/>
  <c r="F2" i="5"/>
  <c r="F12" i="5" s="1"/>
  <c r="G2" i="5"/>
  <c r="G12" i="5" s="1"/>
  <c r="H2" i="5"/>
  <c r="H12" i="5" s="1"/>
  <c r="I2" i="5"/>
  <c r="I12" i="5" s="1"/>
  <c r="J2" i="5"/>
  <c r="J12" i="5" s="1"/>
  <c r="K2" i="5"/>
  <c r="K12" i="5" s="1"/>
  <c r="L2" i="5"/>
  <c r="L12" i="5" s="1"/>
  <c r="M2" i="5"/>
  <c r="M12" i="5" s="1"/>
  <c r="N2" i="5"/>
  <c r="N12" i="5" s="1"/>
  <c r="O2" i="5"/>
  <c r="O12" i="5" s="1"/>
  <c r="P2" i="5"/>
  <c r="P12" i="5" s="1"/>
  <c r="Q2" i="5"/>
  <c r="Q12" i="5" s="1"/>
  <c r="R2" i="5"/>
  <c r="R12" i="5" s="1"/>
  <c r="S2" i="5"/>
  <c r="S12" i="5" s="1"/>
  <c r="D3" i="5"/>
  <c r="W10" i="5" s="1"/>
  <c r="D16" i="5"/>
  <c r="E16" i="5"/>
  <c r="F16" i="5"/>
  <c r="G16" i="5"/>
  <c r="H16" i="5"/>
  <c r="I16" i="5"/>
  <c r="J16" i="5"/>
  <c r="K16" i="5"/>
  <c r="D22" i="5"/>
  <c r="E22" i="5"/>
  <c r="F22" i="5"/>
  <c r="G22" i="5"/>
  <c r="D28" i="5"/>
  <c r="E28" i="5"/>
  <c r="D34" i="5"/>
  <c r="D24" i="4"/>
  <c r="E18" i="4"/>
  <c r="D18" i="4"/>
  <c r="G12" i="4"/>
  <c r="F12" i="4"/>
  <c r="E12" i="4"/>
  <c r="D12" i="4"/>
  <c r="D3" i="4"/>
  <c r="U8" i="4" s="1"/>
  <c r="K2" i="4"/>
  <c r="K8" i="4" s="1"/>
  <c r="J2" i="4"/>
  <c r="J8" i="4" s="1"/>
  <c r="I2" i="4"/>
  <c r="I8" i="4" s="1"/>
  <c r="H2" i="4"/>
  <c r="H8" i="4" s="1"/>
  <c r="G2" i="4"/>
  <c r="G8" i="4" s="1"/>
  <c r="F2" i="4"/>
  <c r="F8" i="4" s="1"/>
  <c r="E2" i="4"/>
  <c r="E8" i="4" s="1"/>
  <c r="D2" i="4"/>
  <c r="D8" i="4" s="1"/>
  <c r="K15" i="2"/>
  <c r="J15" i="2"/>
  <c r="I15" i="2"/>
  <c r="H15" i="2"/>
  <c r="G15" i="2"/>
  <c r="F15" i="2"/>
  <c r="E15" i="2"/>
  <c r="D15" i="2"/>
  <c r="D2" i="2"/>
  <c r="S1" i="2"/>
  <c r="S11" i="2" s="1"/>
  <c r="R1" i="2"/>
  <c r="R11" i="2" s="1"/>
  <c r="Q1" i="2"/>
  <c r="Q11" i="2" s="1"/>
  <c r="P1" i="2"/>
  <c r="P11" i="2" s="1"/>
  <c r="O1" i="2"/>
  <c r="O11" i="2" s="1"/>
  <c r="N1" i="2"/>
  <c r="N11" i="2" s="1"/>
  <c r="M1" i="2"/>
  <c r="M11" i="2" s="1"/>
  <c r="L1" i="2"/>
  <c r="L11" i="2" s="1"/>
  <c r="K1" i="2"/>
  <c r="K11" i="2" s="1"/>
  <c r="J1" i="2"/>
  <c r="J11" i="2" s="1"/>
  <c r="I1" i="2"/>
  <c r="I11" i="2" s="1"/>
  <c r="H1" i="2"/>
  <c r="H11" i="2" s="1"/>
  <c r="G1" i="2"/>
  <c r="G11" i="2" s="1"/>
  <c r="F1" i="2"/>
  <c r="F11" i="2" s="1"/>
  <c r="E1" i="2"/>
  <c r="E11" i="2" s="1"/>
  <c r="D1" i="2"/>
  <c r="D11" i="2" s="1"/>
  <c r="D33" i="2"/>
  <c r="E27" i="2"/>
  <c r="D27" i="2"/>
  <c r="G21" i="2"/>
  <c r="F21" i="2"/>
  <c r="E21" i="2"/>
  <c r="D21" i="2"/>
  <c r="Q9" i="7" l="1"/>
  <c r="R9" i="7"/>
  <c r="D4" i="7"/>
  <c r="R8" i="6"/>
  <c r="S8" i="6"/>
  <c r="T8" i="6"/>
  <c r="AF10" i="5"/>
  <c r="AE10" i="5"/>
  <c r="AD10" i="5"/>
  <c r="Z10" i="5"/>
  <c r="S10" i="5"/>
  <c r="AC10" i="5"/>
  <c r="AB10" i="5"/>
  <c r="D14" i="5"/>
  <c r="E14" i="5"/>
  <c r="D14" i="6"/>
  <c r="D18" i="5"/>
  <c r="D24" i="5" s="1"/>
  <c r="H18" i="5"/>
  <c r="F24" i="5" s="1"/>
  <c r="E30" i="5" s="1"/>
  <c r="F18" i="5"/>
  <c r="E24" i="5" s="1"/>
  <c r="J14" i="5"/>
  <c r="I14" i="5"/>
  <c r="D4" i="5"/>
  <c r="H14" i="5"/>
  <c r="D4" i="6"/>
  <c r="AA10" i="5"/>
  <c r="Y10" i="5"/>
  <c r="X10" i="5"/>
  <c r="T18" i="5" s="1"/>
  <c r="V10" i="5"/>
  <c r="U10" i="5"/>
  <c r="T10" i="5"/>
  <c r="Q10" i="5"/>
  <c r="K14" i="5"/>
  <c r="K18" i="5"/>
  <c r="G14" i="5"/>
  <c r="G18" i="5"/>
  <c r="F14" i="5"/>
  <c r="E18" i="5"/>
  <c r="R10" i="5"/>
  <c r="J18" i="5"/>
  <c r="I18" i="5"/>
  <c r="K17" i="2"/>
  <c r="I17" i="2"/>
  <c r="J17" i="2"/>
  <c r="G23" i="2" s="1"/>
  <c r="G17" i="2"/>
  <c r="H17" i="2"/>
  <c r="F23" i="2" s="1"/>
  <c r="E29" i="2" s="1"/>
  <c r="F17" i="2"/>
  <c r="E23" i="2" s="1"/>
  <c r="D17" i="2"/>
  <c r="D23" i="2" s="1"/>
  <c r="E17" i="2"/>
  <c r="G10" i="4"/>
  <c r="D10" i="4"/>
  <c r="F10" i="4"/>
  <c r="F14" i="4"/>
  <c r="E20" i="4" s="1"/>
  <c r="G14" i="4"/>
  <c r="E10" i="4"/>
  <c r="D14" i="4"/>
  <c r="E14" i="4"/>
  <c r="Q8" i="4"/>
  <c r="R8" i="4"/>
  <c r="V8" i="4"/>
  <c r="S10" i="4" s="1"/>
  <c r="W8" i="4"/>
  <c r="X8" i="4"/>
  <c r="S8" i="4"/>
  <c r="T8" i="4"/>
  <c r="D4" i="4"/>
  <c r="AF9" i="2"/>
  <c r="R9" i="2"/>
  <c r="Z9" i="2"/>
  <c r="S9" i="2"/>
  <c r="AA9" i="2"/>
  <c r="AB9" i="2"/>
  <c r="U9" i="2"/>
  <c r="AC9" i="2"/>
  <c r="Y9" i="2"/>
  <c r="T9" i="2"/>
  <c r="V9" i="2"/>
  <c r="AD9" i="2"/>
  <c r="X9" i="2"/>
  <c r="W9" i="2"/>
  <c r="AE9" i="2"/>
  <c r="Q9" i="2"/>
  <c r="I13" i="2"/>
  <c r="J13" i="2"/>
  <c r="H13" i="2"/>
  <c r="G13" i="2"/>
  <c r="K13" i="2"/>
  <c r="F13" i="2"/>
  <c r="D13" i="2"/>
  <c r="E13" i="2"/>
  <c r="D3" i="2"/>
  <c r="D11" i="7" l="1"/>
  <c r="D15" i="7"/>
  <c r="D17" i="7" s="1"/>
  <c r="W14" i="5"/>
  <c r="W16" i="5" s="1"/>
  <c r="E20" i="5"/>
  <c r="W18" i="5"/>
  <c r="Q14" i="5"/>
  <c r="Q16" i="5" s="1"/>
  <c r="X18" i="5"/>
  <c r="R18" i="5"/>
  <c r="D10" i="6"/>
  <c r="F20" i="5"/>
  <c r="U14" i="5"/>
  <c r="U16" i="5" s="1"/>
  <c r="X14" i="5"/>
  <c r="X16" i="5" s="1"/>
  <c r="V14" i="5"/>
  <c r="V16" i="5" s="1"/>
  <c r="U18" i="5"/>
  <c r="E10" i="6"/>
  <c r="S18" i="5"/>
  <c r="R24" i="5" s="1"/>
  <c r="V18" i="5"/>
  <c r="D20" i="6"/>
  <c r="D22" i="6" s="1"/>
  <c r="D20" i="5"/>
  <c r="E14" i="6"/>
  <c r="D16" i="6" s="1"/>
  <c r="T14" i="5"/>
  <c r="T16" i="5" s="1"/>
  <c r="S14" i="5"/>
  <c r="S16" i="5" s="1"/>
  <c r="R14" i="5"/>
  <c r="R16" i="5" s="1"/>
  <c r="D26" i="5"/>
  <c r="D30" i="5"/>
  <c r="G20" i="5"/>
  <c r="Q18" i="5"/>
  <c r="G24" i="5"/>
  <c r="E26" i="5" s="1"/>
  <c r="D29" i="2"/>
  <c r="D35" i="2" s="1"/>
  <c r="D37" i="2" s="1"/>
  <c r="O9" i="2" s="1"/>
  <c r="S12" i="4"/>
  <c r="E16" i="4"/>
  <c r="D16" i="4"/>
  <c r="T10" i="4"/>
  <c r="T12" i="4" s="1"/>
  <c r="T14" i="4"/>
  <c r="D20" i="4"/>
  <c r="S14" i="4"/>
  <c r="Q10" i="4"/>
  <c r="Q12" i="4" s="1"/>
  <c r="Q14" i="4"/>
  <c r="R14" i="4"/>
  <c r="R10" i="4"/>
  <c r="R12" i="4" s="1"/>
  <c r="W17" i="2"/>
  <c r="Q17" i="2"/>
  <c r="X17" i="2"/>
  <c r="S17" i="2"/>
  <c r="V17" i="2"/>
  <c r="U17" i="2"/>
  <c r="T17" i="2"/>
  <c r="R17" i="2"/>
  <c r="Q13" i="2"/>
  <c r="W13" i="2"/>
  <c r="W15" i="2" s="1"/>
  <c r="R13" i="2"/>
  <c r="X13" i="2"/>
  <c r="X15" i="2" s="1"/>
  <c r="V13" i="2"/>
  <c r="V15" i="2" s="1"/>
  <c r="T13" i="2"/>
  <c r="T15" i="2" s="1"/>
  <c r="U13" i="2"/>
  <c r="U15" i="2" s="1"/>
  <c r="S13" i="2"/>
  <c r="D19" i="2"/>
  <c r="E19" i="2"/>
  <c r="G19" i="2"/>
  <c r="F19" i="2"/>
  <c r="D25" i="2"/>
  <c r="E25" i="2"/>
  <c r="O9" i="7" l="1"/>
  <c r="T20" i="5"/>
  <c r="T22" i="5" s="1"/>
  <c r="T24" i="5"/>
  <c r="R20" i="5"/>
  <c r="R22" i="5" s="1"/>
  <c r="S24" i="5"/>
  <c r="O8" i="6"/>
  <c r="S20" i="5"/>
  <c r="S22" i="5" s="1"/>
  <c r="R14" i="6"/>
  <c r="R10" i="6"/>
  <c r="R12" i="6" s="1"/>
  <c r="Q14" i="6"/>
  <c r="Q10" i="6"/>
  <c r="Q12" i="6" s="1"/>
  <c r="D32" i="5"/>
  <c r="D36" i="5"/>
  <c r="D38" i="5" s="1"/>
  <c r="O10" i="5" s="1"/>
  <c r="O18" i="5" s="1"/>
  <c r="Q20" i="5"/>
  <c r="Q22" i="5" s="1"/>
  <c r="Q24" i="5"/>
  <c r="AP15" i="2"/>
  <c r="AO15" i="2"/>
  <c r="R15" i="2"/>
  <c r="AK15" i="2" s="1"/>
  <c r="AQ15" i="2"/>
  <c r="AN15" i="2"/>
  <c r="AM15" i="2"/>
  <c r="Q15" i="2"/>
  <c r="S15" i="2"/>
  <c r="AL15" i="2" s="1"/>
  <c r="D31" i="2"/>
  <c r="Q20" i="4"/>
  <c r="Q16" i="4"/>
  <c r="Q18" i="4" s="1"/>
  <c r="R16" i="4"/>
  <c r="R18" i="4" s="1"/>
  <c r="R20" i="4"/>
  <c r="D22" i="4"/>
  <c r="D26" i="4"/>
  <c r="D28" i="4" s="1"/>
  <c r="O8" i="4" s="1"/>
  <c r="O14" i="4" s="1"/>
  <c r="T19" i="2"/>
  <c r="T21" i="2" s="1"/>
  <c r="Q23" i="2"/>
  <c r="R23" i="2"/>
  <c r="R19" i="2"/>
  <c r="R21" i="2" s="1"/>
  <c r="T23" i="2"/>
  <c r="S23" i="2"/>
  <c r="S19" i="2"/>
  <c r="S21" i="2" s="1"/>
  <c r="Q19" i="2"/>
  <c r="Q21" i="2" s="1"/>
  <c r="D24" i="1"/>
  <c r="E18" i="1"/>
  <c r="D18" i="1"/>
  <c r="G12" i="1"/>
  <c r="F12" i="1"/>
  <c r="E12" i="1"/>
  <c r="D12" i="1"/>
  <c r="D3" i="1"/>
  <c r="Q8" i="1" s="1"/>
  <c r="K2" i="1"/>
  <c r="K8" i="1" s="1"/>
  <c r="J2" i="1"/>
  <c r="J8" i="1" s="1"/>
  <c r="I2" i="1"/>
  <c r="I8" i="1" s="1"/>
  <c r="H2" i="1"/>
  <c r="H8" i="1" s="1"/>
  <c r="G2" i="1"/>
  <c r="G8" i="1" s="1"/>
  <c r="F2" i="1"/>
  <c r="F8" i="1" s="1"/>
  <c r="E2" i="1"/>
  <c r="E8" i="1" s="1"/>
  <c r="D2" i="1"/>
  <c r="D8" i="1" s="1"/>
  <c r="Q15" i="7" l="1"/>
  <c r="Q11" i="7"/>
  <c r="Q13" i="7" s="1"/>
  <c r="R30" i="5"/>
  <c r="R26" i="5"/>
  <c r="R28" i="5" s="1"/>
  <c r="O14" i="6"/>
  <c r="Q20" i="6"/>
  <c r="Q16" i="6"/>
  <c r="Q18" i="6" s="1"/>
  <c r="Q30" i="5"/>
  <c r="Q26" i="5"/>
  <c r="Q28" i="5" s="1"/>
  <c r="O24" i="5"/>
  <c r="AK21" i="2"/>
  <c r="AJ21" i="2"/>
  <c r="AM21" i="2"/>
  <c r="AL21" i="2"/>
  <c r="O17" i="2"/>
  <c r="O23" i="2" s="1"/>
  <c r="AJ15" i="2"/>
  <c r="F14" i="1"/>
  <c r="E20" i="1" s="1"/>
  <c r="G14" i="1"/>
  <c r="E14" i="1"/>
  <c r="D14" i="1"/>
  <c r="D20" i="1" s="1"/>
  <c r="D26" i="1" s="1"/>
  <c r="O20" i="4"/>
  <c r="Q22" i="4"/>
  <c r="Q24" i="4" s="1"/>
  <c r="Q26" i="4"/>
  <c r="Q25" i="2"/>
  <c r="R25" i="2"/>
  <c r="Q29" i="2"/>
  <c r="R29" i="2"/>
  <c r="D4" i="1"/>
  <c r="D10" i="1"/>
  <c r="E10" i="1"/>
  <c r="F10" i="1"/>
  <c r="G10" i="1"/>
  <c r="R8" i="1"/>
  <c r="Q14" i="1" s="1"/>
  <c r="S8" i="1"/>
  <c r="T8" i="1"/>
  <c r="U8" i="1"/>
  <c r="V8" i="1"/>
  <c r="W8" i="1"/>
  <c r="X8" i="1"/>
  <c r="O15" i="7" l="1"/>
  <c r="O19" i="7" s="1"/>
  <c r="O20" i="6"/>
  <c r="O24" i="6" s="1"/>
  <c r="O30" i="5"/>
  <c r="Q36" i="5"/>
  <c r="Q32" i="5"/>
  <c r="Q34" i="5" s="1"/>
  <c r="Q27" i="2"/>
  <c r="AJ27" i="2" s="1"/>
  <c r="R27" i="2"/>
  <c r="AK27" i="2" s="1"/>
  <c r="O26" i="4"/>
  <c r="O30" i="4" s="1"/>
  <c r="Q35" i="2"/>
  <c r="Q31" i="2"/>
  <c r="E16" i="1"/>
  <c r="D16" i="1"/>
  <c r="Q10" i="1"/>
  <c r="Q12" i="1" s="1"/>
  <c r="T10" i="1"/>
  <c r="T12" i="1" s="1"/>
  <c r="T14" i="1"/>
  <c r="S10" i="1"/>
  <c r="S12" i="1" s="1"/>
  <c r="S14" i="1"/>
  <c r="R10" i="1"/>
  <c r="R12" i="1" s="1"/>
  <c r="R14" i="1"/>
  <c r="Q20" i="1" s="1"/>
  <c r="O17" i="7" l="1"/>
  <c r="O22" i="6"/>
  <c r="O36" i="5"/>
  <c r="O40" i="5" s="1"/>
  <c r="O29" i="2"/>
  <c r="Q33" i="2"/>
  <c r="AJ33" i="2" s="1"/>
  <c r="AH12" i="1"/>
  <c r="AG12" i="1"/>
  <c r="AF12" i="1"/>
  <c r="AE12" i="1"/>
  <c r="D22" i="1"/>
  <c r="O28" i="4"/>
  <c r="Q16" i="1"/>
  <c r="Q18" i="1" s="1"/>
  <c r="R16" i="1"/>
  <c r="R18" i="1" s="1"/>
  <c r="R20" i="1"/>
  <c r="Q22" i="1" s="1"/>
  <c r="O38" i="5" l="1"/>
  <c r="O35" i="2"/>
  <c r="O39" i="2" s="1"/>
  <c r="AF18" i="1"/>
  <c r="AE18" i="1"/>
  <c r="D28" i="1"/>
  <c r="O8" i="1" s="1"/>
  <c r="Q24" i="1"/>
  <c r="AE24" i="1" s="1"/>
  <c r="Q26" i="1"/>
  <c r="O37" i="2" l="1"/>
  <c r="O14" i="1"/>
  <c r="O20" i="1" s="1"/>
  <c r="O26" i="1" s="1"/>
  <c r="O30" i="1" s="1"/>
  <c r="AE28" i="1"/>
  <c r="O28" i="1" l="1"/>
  <c r="AF28" i="1" s="1"/>
</calcChain>
</file>

<file path=xl/sharedStrings.xml><?xml version="1.0" encoding="utf-8"?>
<sst xmlns="http://schemas.openxmlformats.org/spreadsheetml/2006/main" count="251" uniqueCount="39">
  <si>
    <t>Field</t>
  </si>
  <si>
    <t>Measurement</t>
  </si>
  <si>
    <t>Outcome</t>
  </si>
  <si>
    <t>Combine</t>
  </si>
  <si>
    <t>Comms Bit</t>
  </si>
  <si>
    <t>Model A</t>
  </si>
  <si>
    <t>Model B</t>
  </si>
  <si>
    <t>Gun</t>
  </si>
  <si>
    <t>Random input</t>
  </si>
  <si>
    <t>Gun index</t>
  </si>
  <si>
    <t>Indices</t>
  </si>
  <si>
    <t>Rule: M[k] = (F[2k] + F[2k+1])MOD 2</t>
  </si>
  <si>
    <t>Rule: C[k] = (F[2k] + O[k])MOD 2</t>
  </si>
  <si>
    <t>Rule: M[k] = NOT(G[2k]) AND G[2k+1]</t>
  </si>
  <si>
    <t>Rule: M[k] = (G[2k] + G[2k+1])MOD2, Cnew = (Cprev + Dotproduct(C,O) )MOD2</t>
  </si>
  <si>
    <t>Expected</t>
  </si>
  <si>
    <t>Answer</t>
  </si>
  <si>
    <t>Correct?</t>
  </si>
  <si>
    <t>Rule: C[k] = (1+F[2k] + O[k])MOD 2</t>
  </si>
  <si>
    <t>"Zero if equa, one if different"</t>
  </si>
  <si>
    <t>"One if equal, else zero"</t>
  </si>
  <si>
    <t>"1 if (0,1) else 0"</t>
  </si>
  <si>
    <t>Pyramid accuracy</t>
  </si>
  <si>
    <t>Phigh</t>
  </si>
  <si>
    <t>Majority accururacy</t>
  </si>
  <si>
    <t>P</t>
  </si>
  <si>
    <t>zero flips</t>
  </si>
  <si>
    <t>4 flips</t>
  </si>
  <si>
    <t>2 flips</t>
  </si>
  <si>
    <t>Total</t>
  </si>
  <si>
    <t>Majority</t>
  </si>
  <si>
    <t>Total in 3</t>
  </si>
  <si>
    <t>Total in 2</t>
  </si>
  <si>
    <t>Full pyramid</t>
  </si>
  <si>
    <t>Field size 16</t>
  </si>
  <si>
    <t>Full majority</t>
  </si>
  <si>
    <t>3 majority +1 pyramid</t>
  </si>
  <si>
    <t xml:space="preserve"> 2 majority + 2 pyramid</t>
  </si>
  <si>
    <t>1  majority +3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</si>
</sst>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2" x14ac:knownFonts="1"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2" xfId="0" applyFill="1" applyBorder="1"/>
    <xf numFmtId="0" fontId="0" fillId="3" borderId="1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7" borderId="0" xfId="0" applyFill="1"/>
    <xf numFmtId="0" fontId="1" fillId="7" borderId="0" xfId="0" applyFont="1" applyFill="1"/>
    <xf numFmtId="0" fontId="0" fillId="6" borderId="6" xfId="0" applyFill="1" applyBorder="1"/>
    <xf numFmtId="2" fontId="0" fillId="0" borderId="0" xfId="0" applyNumberFormat="1"/>
    <xf numFmtId="171" fontId="0" fillId="0" borderId="0" xfId="0" applyNumberFormat="1"/>
    <xf numFmtId="0" fontId="0" fillId="0" borderId="0" xfId="0" quotePrefix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33</xdr:col>
      <xdr:colOff>7620</xdr:colOff>
      <xdr:row>41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444D9-CE19-803C-BBC6-1B2D65D5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124420" cy="7566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B5D7-18BF-4446-AB69-664C396954D7}">
  <dimension ref="A1:AD46"/>
  <sheetViews>
    <sheetView tabSelected="1" topLeftCell="A16" zoomScale="70" zoomScaleNormal="70" workbookViewId="0">
      <selection activeCell="R46" sqref="R46"/>
    </sheetView>
  </sheetViews>
  <sheetFormatPr defaultColWidth="8.88671875" defaultRowHeight="14.4" x14ac:dyDescent="0.3"/>
  <cols>
    <col min="11" max="11" width="12.5546875" customWidth="1"/>
    <col min="12" max="12" width="12.6640625" style="13" customWidth="1"/>
    <col min="25" max="30" width="8.88671875" style="13"/>
  </cols>
  <sheetData>
    <row r="1" spans="1:24" s="13" customFormat="1" ht="15" thickBot="1" x14ac:dyDescent="0.35"/>
    <row r="2" spans="1:24" ht="15" thickBot="1" x14ac:dyDescent="0.35">
      <c r="A2" s="13"/>
      <c r="B2" s="13" t="s">
        <v>8</v>
      </c>
      <c r="C2" s="13"/>
      <c r="D2" s="5">
        <f ca="1">+ROUND(RAND(),0)</f>
        <v>0</v>
      </c>
      <c r="E2" s="7">
        <f t="shared" ref="E2" ca="1" si="0">+ROUND(RAND(),0)</f>
        <v>0</v>
      </c>
      <c r="F2" s="13"/>
      <c r="G2" s="13"/>
      <c r="H2" s="13"/>
      <c r="I2" s="13"/>
      <c r="J2" s="13"/>
      <c r="K2" s="13"/>
      <c r="M2" s="14" t="s">
        <v>10</v>
      </c>
      <c r="N2" s="13"/>
      <c r="O2" s="13"/>
      <c r="P2" s="13"/>
      <c r="Q2" s="14">
        <v>0</v>
      </c>
      <c r="R2" s="14">
        <v>1</v>
      </c>
      <c r="S2" s="13"/>
      <c r="T2" s="13"/>
      <c r="U2" s="13"/>
      <c r="V2" s="13"/>
      <c r="W2" s="13"/>
      <c r="X2" s="13"/>
    </row>
    <row r="3" spans="1:24" ht="15" thickBot="1" x14ac:dyDescent="0.35">
      <c r="A3" s="13"/>
      <c r="B3" s="13" t="s">
        <v>9</v>
      </c>
      <c r="C3" s="13"/>
      <c r="D3" s="8">
        <f ca="1">+RANDBETWEEN(0,1)</f>
        <v>0</v>
      </c>
      <c r="E3" s="13"/>
      <c r="F3" s="13"/>
      <c r="G3" s="13"/>
      <c r="H3" s="13"/>
      <c r="I3" s="13"/>
      <c r="J3" s="13"/>
      <c r="K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ht="15" thickBot="1" x14ac:dyDescent="0.35">
      <c r="A4" s="13"/>
      <c r="B4" s="13" t="s">
        <v>15</v>
      </c>
      <c r="C4" s="13"/>
      <c r="D4" s="4">
        <f ca="1">+OFFSET(D2,0,D3)</f>
        <v>0</v>
      </c>
      <c r="E4" s="13"/>
      <c r="F4" s="13"/>
      <c r="G4" s="13"/>
      <c r="H4" s="13"/>
      <c r="I4" s="13"/>
      <c r="J4" s="13"/>
      <c r="K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s="13" customFormat="1" x14ac:dyDescent="0.3"/>
    <row r="6" spans="1:24" s="13" customFormat="1" x14ac:dyDescent="0.3">
      <c r="B6" s="13" t="s">
        <v>5</v>
      </c>
      <c r="M6" s="13" t="s">
        <v>6</v>
      </c>
    </row>
    <row r="7" spans="1:24" s="13" customFormat="1" x14ac:dyDescent="0.3"/>
    <row r="8" spans="1:24" s="13" customFormat="1" x14ac:dyDescent="0.3"/>
    <row r="9" spans="1:24" s="13" customFormat="1" x14ac:dyDescent="0.3">
      <c r="B9" s="13" t="s">
        <v>0</v>
      </c>
      <c r="D9" s="1">
        <f ca="1">+D2</f>
        <v>0</v>
      </c>
      <c r="E9" s="1">
        <f ca="1">+E2</f>
        <v>0</v>
      </c>
      <c r="F9" s="13" t="s">
        <v>12</v>
      </c>
      <c r="M9" s="13" t="s">
        <v>3</v>
      </c>
      <c r="O9" s="9">
        <f ca="1">+D17</f>
        <v>1</v>
      </c>
      <c r="Q9" s="1">
        <f ca="1">+IF(Q2=$D3,1,0)</f>
        <v>1</v>
      </c>
      <c r="R9" s="1">
        <f ca="1">+IF(R2=$D3,1,0)</f>
        <v>0</v>
      </c>
      <c r="S9" s="13" t="s">
        <v>14</v>
      </c>
    </row>
    <row r="10" spans="1:24" s="13" customFormat="1" x14ac:dyDescent="0.3"/>
    <row r="11" spans="1:24" s="13" customFormat="1" x14ac:dyDescent="0.3">
      <c r="B11" s="13" t="s">
        <v>1</v>
      </c>
      <c r="D11" s="1">
        <f ca="1">+MOD(D9+E9,2)</f>
        <v>0</v>
      </c>
      <c r="E11" s="13" t="s">
        <v>11</v>
      </c>
      <c r="M11" s="13" t="s">
        <v>1</v>
      </c>
      <c r="Q11" s="1">
        <f ca="1">+IF(AND(NOT(Q9),R9),1,0)</f>
        <v>0</v>
      </c>
      <c r="R11" s="13" t="s">
        <v>13</v>
      </c>
    </row>
    <row r="12" spans="1:24" s="13" customFormat="1" x14ac:dyDescent="0.3"/>
    <row r="13" spans="1:24" s="13" customFormat="1" x14ac:dyDescent="0.3">
      <c r="B13" s="13" t="s">
        <v>2</v>
      </c>
      <c r="D13" s="3">
        <f ca="1">+ROUND(RAND(),0)</f>
        <v>1</v>
      </c>
      <c r="M13" s="13" t="s">
        <v>2</v>
      </c>
      <c r="Q13" s="3">
        <f ca="1">+IF(AND(Q11=1,D11=1),MOD(1+D13,2),D13)</f>
        <v>1</v>
      </c>
    </row>
    <row r="14" spans="1:24" s="13" customFormat="1" x14ac:dyDescent="0.3"/>
    <row r="15" spans="1:24" s="13" customFormat="1" x14ac:dyDescent="0.3">
      <c r="B15" s="13" t="s">
        <v>3</v>
      </c>
      <c r="D15" s="1">
        <f ca="1">+MOD(D13+D9,2)</f>
        <v>1</v>
      </c>
      <c r="E15" s="13" t="s">
        <v>12</v>
      </c>
      <c r="M15" s="13" t="s">
        <v>3</v>
      </c>
      <c r="O15" s="1">
        <f ca="1">+MOD(O9+SUMPRODUCT(Q13:T13,Q15:T15),2)</f>
        <v>0</v>
      </c>
      <c r="Q15" s="1">
        <f ca="1">+MOD(Q9+R9,2)</f>
        <v>1</v>
      </c>
      <c r="R15" s="13" t="s">
        <v>14</v>
      </c>
    </row>
    <row r="16" spans="1:24" s="13" customFormat="1" ht="15" thickBot="1" x14ac:dyDescent="0.35"/>
    <row r="17" spans="2:25" s="13" customFormat="1" ht="15" thickBot="1" x14ac:dyDescent="0.35">
      <c r="B17" s="13" t="s">
        <v>4</v>
      </c>
      <c r="D17" s="2">
        <f ca="1">+D15</f>
        <v>1</v>
      </c>
      <c r="M17" s="13" t="s">
        <v>16</v>
      </c>
      <c r="O17" s="4">
        <f ca="1">+O15</f>
        <v>0</v>
      </c>
    </row>
    <row r="18" spans="2:25" s="13" customFormat="1" ht="15" thickBot="1" x14ac:dyDescent="0.35"/>
    <row r="19" spans="2:25" s="13" customFormat="1" ht="15" thickBot="1" x14ac:dyDescent="0.35">
      <c r="M19" s="10" t="s">
        <v>17</v>
      </c>
      <c r="N19" s="11"/>
      <c r="O19" s="12" t="b">
        <f ca="1">+O15=SUMPRODUCT(D9:E9,Q9:R9)</f>
        <v>1</v>
      </c>
    </row>
    <row r="20" spans="2:25" s="13" customFormat="1" x14ac:dyDescent="0.3"/>
    <row r="21" spans="2:25" s="13" customFormat="1" x14ac:dyDescent="0.3"/>
    <row r="22" spans="2:25" s="13" customFormat="1" x14ac:dyDescent="0.3"/>
    <row r="25" spans="2:25" x14ac:dyDescent="0.3">
      <c r="C25" t="s">
        <v>22</v>
      </c>
      <c r="F25" t="s">
        <v>23</v>
      </c>
    </row>
    <row r="26" spans="2:25" x14ac:dyDescent="0.3">
      <c r="C26" t="s">
        <v>24</v>
      </c>
      <c r="F26">
        <f>0.5*1+0.5*0.5</f>
        <v>0.75</v>
      </c>
    </row>
    <row r="29" spans="2:25" x14ac:dyDescent="0.3">
      <c r="W29" t="s">
        <v>30</v>
      </c>
      <c r="Y29"/>
    </row>
    <row r="30" spans="2:25" x14ac:dyDescent="0.3">
      <c r="C30" t="s">
        <v>25</v>
      </c>
      <c r="E30" t="s">
        <v>26</v>
      </c>
      <c r="G30" t="s">
        <v>27</v>
      </c>
      <c r="I30" t="s">
        <v>28</v>
      </c>
      <c r="K30" t="s">
        <v>29</v>
      </c>
      <c r="M30" t="s">
        <v>31</v>
      </c>
      <c r="P30" t="s">
        <v>32</v>
      </c>
      <c r="Y30"/>
    </row>
    <row r="31" spans="2:25" x14ac:dyDescent="0.3">
      <c r="W31">
        <v>16</v>
      </c>
      <c r="Y31" s="16">
        <f>39203/65536</f>
        <v>0.5981903076171875</v>
      </c>
    </row>
    <row r="32" spans="2:25" x14ac:dyDescent="0.3">
      <c r="C32">
        <v>1</v>
      </c>
      <c r="E32" s="16">
        <f>+C32*C32*C32*C32</f>
        <v>1</v>
      </c>
      <c r="F32" s="16"/>
      <c r="G32" s="16">
        <f>+(1-C32)*(1-C32)*(1-C32)*(1-C32)</f>
        <v>0</v>
      </c>
      <c r="H32" s="16"/>
      <c r="I32" s="16">
        <f>+C32*C32*(1-C32)*(1-C32)*6</f>
        <v>0</v>
      </c>
      <c r="J32" s="16"/>
      <c r="K32" s="16">
        <f>+I32+G32+E32</f>
        <v>1</v>
      </c>
      <c r="M32">
        <f>+C32*C32*C32+(1-C32)*C32*C32*3</f>
        <v>1</v>
      </c>
      <c r="N32">
        <f>+M32*$Y$34 + (1-M32)*(1-$Y$34)</f>
        <v>0.75</v>
      </c>
      <c r="P32">
        <f>+C32*C32+(1-C32)*(1-C32)</f>
        <v>1</v>
      </c>
      <c r="W32">
        <v>8</v>
      </c>
      <c r="Y32" s="16">
        <f>163/256</f>
        <v>0.63671875</v>
      </c>
    </row>
    <row r="33" spans="3:25" x14ac:dyDescent="0.3">
      <c r="C33">
        <v>0.9</v>
      </c>
      <c r="E33" s="16">
        <f t="shared" ref="E33:E37" si="1">+C33*C33*C33*C33</f>
        <v>0.65610000000000013</v>
      </c>
      <c r="F33" s="16"/>
      <c r="G33" s="16">
        <f t="shared" ref="G33:G37" si="2">+(1-C33)*(1-C33)*(1-C33)*(1-C33)</f>
        <v>9.999999999999991E-5</v>
      </c>
      <c r="H33" s="16"/>
      <c r="I33" s="16">
        <f t="shared" ref="I33:I37" si="3">+C33*C33*(1-C33)*(1-C33)*6</f>
        <v>4.859999999999999E-2</v>
      </c>
      <c r="J33" s="16"/>
      <c r="K33" s="16">
        <f t="shared" ref="K33:K37" si="4">+I33+G33+E33</f>
        <v>0.70480000000000009</v>
      </c>
      <c r="M33">
        <f>+C33*C33*C33+(1-C33)*(1-C33)*C33*3</f>
        <v>0.75600000000000012</v>
      </c>
      <c r="N33">
        <f>+M33*$Y$34 + (1-M33)*(1-$Y$34)</f>
        <v>0.628</v>
      </c>
      <c r="P33">
        <f t="shared" ref="P33:P37" si="5">+C33*C33+(1-C33)*(1-C33)</f>
        <v>0.82000000000000006</v>
      </c>
      <c r="W33">
        <v>4</v>
      </c>
      <c r="Y33" s="16">
        <f>11/16</f>
        <v>0.6875</v>
      </c>
    </row>
    <row r="34" spans="3:25" x14ac:dyDescent="0.3">
      <c r="C34">
        <v>0.8</v>
      </c>
      <c r="E34" s="16">
        <f t="shared" si="1"/>
        <v>0.40960000000000013</v>
      </c>
      <c r="F34" s="16"/>
      <c r="G34" s="16">
        <f t="shared" si="2"/>
        <v>1.5999999999999986E-3</v>
      </c>
      <c r="H34" s="16"/>
      <c r="I34" s="16">
        <f t="shared" si="3"/>
        <v>0.15359999999999996</v>
      </c>
      <c r="J34" s="16"/>
      <c r="K34" s="16">
        <f>+I34+G34+E34</f>
        <v>0.56480000000000008</v>
      </c>
      <c r="M34">
        <f t="shared" ref="M34:M37" si="6">+C34*C34*C34+(1-C34)*(1-C34)*C34*3</f>
        <v>0.6080000000000001</v>
      </c>
      <c r="N34">
        <f t="shared" ref="N33:N37" si="7">+M34*$Y$34 + (1-M34)*(1-$Y$34)</f>
        <v>0.55400000000000005</v>
      </c>
      <c r="P34">
        <f t="shared" si="5"/>
        <v>0.68000000000000016</v>
      </c>
      <c r="W34">
        <v>2</v>
      </c>
      <c r="Y34" s="16">
        <f>3/4</f>
        <v>0.75</v>
      </c>
    </row>
    <row r="35" spans="3:25" x14ac:dyDescent="0.3">
      <c r="C35">
        <v>0.7</v>
      </c>
      <c r="E35" s="16">
        <f t="shared" si="1"/>
        <v>0.24009999999999992</v>
      </c>
      <c r="F35" s="16"/>
      <c r="G35" s="16">
        <f t="shared" si="2"/>
        <v>8.1000000000000048E-3</v>
      </c>
      <c r="H35" s="16"/>
      <c r="I35" s="16">
        <f t="shared" si="3"/>
        <v>0.26460000000000006</v>
      </c>
      <c r="J35" s="16"/>
      <c r="K35" s="16">
        <f t="shared" si="4"/>
        <v>0.51279999999999992</v>
      </c>
      <c r="M35">
        <f t="shared" si="6"/>
        <v>0.53200000000000003</v>
      </c>
      <c r="N35">
        <f t="shared" si="7"/>
        <v>0.51600000000000001</v>
      </c>
      <c r="P35">
        <f t="shared" si="5"/>
        <v>0.57999999999999996</v>
      </c>
    </row>
    <row r="36" spans="3:25" x14ac:dyDescent="0.3">
      <c r="C36">
        <v>0.6</v>
      </c>
      <c r="E36" s="16">
        <f t="shared" si="1"/>
        <v>0.12959999999999999</v>
      </c>
      <c r="F36" s="16"/>
      <c r="G36" s="16">
        <f t="shared" si="2"/>
        <v>2.5600000000000008E-2</v>
      </c>
      <c r="H36" s="16"/>
      <c r="I36" s="16">
        <f t="shared" si="3"/>
        <v>0.34560000000000002</v>
      </c>
      <c r="J36" s="16"/>
      <c r="K36" s="16">
        <f t="shared" si="4"/>
        <v>0.50080000000000002</v>
      </c>
      <c r="M36">
        <f t="shared" si="6"/>
        <v>0.504</v>
      </c>
      <c r="N36">
        <f t="shared" si="7"/>
        <v>0.502</v>
      </c>
      <c r="P36">
        <f t="shared" si="5"/>
        <v>0.52</v>
      </c>
    </row>
    <row r="37" spans="3:25" x14ac:dyDescent="0.3">
      <c r="C37">
        <v>0.5</v>
      </c>
      <c r="E37" s="16">
        <f t="shared" si="1"/>
        <v>6.25E-2</v>
      </c>
      <c r="F37" s="16"/>
      <c r="G37" s="16">
        <f t="shared" si="2"/>
        <v>6.25E-2</v>
      </c>
      <c r="H37" s="16"/>
      <c r="I37" s="16">
        <f t="shared" si="3"/>
        <v>0.375</v>
      </c>
      <c r="J37" s="16"/>
      <c r="K37" s="16">
        <f t="shared" si="4"/>
        <v>0.5</v>
      </c>
      <c r="M37">
        <f t="shared" si="6"/>
        <v>0.5</v>
      </c>
      <c r="N37">
        <f t="shared" si="7"/>
        <v>0.5</v>
      </c>
      <c r="P37">
        <f t="shared" si="5"/>
        <v>0.5</v>
      </c>
    </row>
    <row r="39" spans="3:25" x14ac:dyDescent="0.3">
      <c r="K39" t="s">
        <v>34</v>
      </c>
    </row>
    <row r="40" spans="3:25" x14ac:dyDescent="0.3">
      <c r="I40">
        <v>2</v>
      </c>
      <c r="K40" t="s">
        <v>33</v>
      </c>
      <c r="L40" s="13" t="s">
        <v>35</v>
      </c>
      <c r="M40" s="18" t="s">
        <v>36</v>
      </c>
      <c r="N40" s="18" t="s">
        <v>37</v>
      </c>
      <c r="O40" s="18" t="s">
        <v>38</v>
      </c>
    </row>
    <row r="41" spans="3:25" x14ac:dyDescent="0.3">
      <c r="C41">
        <v>1</v>
      </c>
      <c r="E41">
        <v>0.63670000000000004</v>
      </c>
      <c r="G41">
        <f>+C41*E41+(1-C41)*(1-E41)</f>
        <v>0.63670000000000004</v>
      </c>
      <c r="I41">
        <f>+C41*C41+(1-C41)*(1-C41)</f>
        <v>1</v>
      </c>
      <c r="K41" s="17">
        <f>+K32</f>
        <v>1</v>
      </c>
      <c r="L41" s="13">
        <v>0.59819999999999995</v>
      </c>
      <c r="M41">
        <f>+G41</f>
        <v>0.63670000000000004</v>
      </c>
      <c r="N41">
        <f>+I41*$Y$33+(1-I41)*(1-$Y$33)</f>
        <v>0.6875</v>
      </c>
      <c r="O41">
        <f>+N32</f>
        <v>0.75</v>
      </c>
    </row>
    <row r="42" spans="3:25" x14ac:dyDescent="0.3">
      <c r="C42">
        <v>0.9</v>
      </c>
      <c r="E42">
        <v>0.63670000000000004</v>
      </c>
      <c r="G42">
        <f t="shared" ref="G42:G46" si="8">+C42*E42+(1-C42)*(1-E42)</f>
        <v>0.60936000000000001</v>
      </c>
      <c r="I42">
        <f t="shared" ref="I42:I46" si="9">+C42*C42+(1-C42)*(1-C42)</f>
        <v>0.82000000000000006</v>
      </c>
      <c r="K42" s="17">
        <f t="shared" ref="K42:K46" si="10">+K33</f>
        <v>0.70480000000000009</v>
      </c>
      <c r="L42" s="13">
        <v>0.59819999999999995</v>
      </c>
      <c r="M42">
        <f t="shared" ref="M42:M46" si="11">+G42</f>
        <v>0.60936000000000001</v>
      </c>
      <c r="N42">
        <f t="shared" ref="N42:N46" si="12">+I42*$Y$33+(1-I42)*(1-$Y$33)</f>
        <v>0.62000000000000011</v>
      </c>
      <c r="O42" s="19">
        <f t="shared" ref="O42:O46" si="13">+N33</f>
        <v>0.628</v>
      </c>
    </row>
    <row r="43" spans="3:25" x14ac:dyDescent="0.3">
      <c r="C43">
        <v>0.8</v>
      </c>
      <c r="E43">
        <v>0.63670000000000004</v>
      </c>
      <c r="G43">
        <f t="shared" si="8"/>
        <v>0.58201999999999998</v>
      </c>
      <c r="I43">
        <f t="shared" si="9"/>
        <v>0.68000000000000016</v>
      </c>
      <c r="K43" s="17">
        <f t="shared" si="10"/>
        <v>0.56480000000000008</v>
      </c>
      <c r="L43" s="13">
        <v>0.59819999999999995</v>
      </c>
      <c r="M43">
        <f t="shared" si="11"/>
        <v>0.58201999999999998</v>
      </c>
      <c r="N43">
        <f t="shared" si="12"/>
        <v>0.56750000000000012</v>
      </c>
      <c r="O43" s="19">
        <f t="shared" si="13"/>
        <v>0.55400000000000005</v>
      </c>
    </row>
    <row r="44" spans="3:25" x14ac:dyDescent="0.3">
      <c r="C44">
        <v>0.7</v>
      </c>
      <c r="E44">
        <v>0.63670000000000004</v>
      </c>
      <c r="G44">
        <f t="shared" si="8"/>
        <v>0.55467999999999995</v>
      </c>
      <c r="I44">
        <f t="shared" si="9"/>
        <v>0.57999999999999996</v>
      </c>
      <c r="K44" s="17">
        <f t="shared" si="10"/>
        <v>0.51279999999999992</v>
      </c>
      <c r="L44" s="13">
        <v>0.59819999999999995</v>
      </c>
      <c r="M44">
        <f t="shared" si="11"/>
        <v>0.55467999999999995</v>
      </c>
      <c r="N44">
        <f t="shared" si="12"/>
        <v>0.53</v>
      </c>
      <c r="O44" s="19">
        <f t="shared" si="13"/>
        <v>0.51600000000000001</v>
      </c>
    </row>
    <row r="45" spans="3:25" x14ac:dyDescent="0.3">
      <c r="C45">
        <v>0.6</v>
      </c>
      <c r="E45">
        <v>0.63670000000000004</v>
      </c>
      <c r="G45">
        <f t="shared" si="8"/>
        <v>0.52734000000000003</v>
      </c>
      <c r="I45">
        <f t="shared" si="9"/>
        <v>0.52</v>
      </c>
      <c r="K45" s="17">
        <f t="shared" si="10"/>
        <v>0.50080000000000002</v>
      </c>
      <c r="L45" s="13">
        <v>0.59819999999999995</v>
      </c>
      <c r="M45">
        <f t="shared" si="11"/>
        <v>0.52734000000000003</v>
      </c>
      <c r="N45">
        <f t="shared" si="12"/>
        <v>0.50750000000000006</v>
      </c>
      <c r="O45">
        <f t="shared" si="13"/>
        <v>0.502</v>
      </c>
    </row>
    <row r="46" spans="3:25" x14ac:dyDescent="0.3">
      <c r="C46">
        <v>0.5</v>
      </c>
      <c r="E46">
        <v>0.63670000000000004</v>
      </c>
      <c r="G46">
        <f t="shared" si="8"/>
        <v>0.5</v>
      </c>
      <c r="I46">
        <f t="shared" si="9"/>
        <v>0.5</v>
      </c>
      <c r="K46" s="17">
        <f t="shared" si="10"/>
        <v>0.5</v>
      </c>
      <c r="L46" s="13">
        <v>0.59819999999999995</v>
      </c>
      <c r="M46">
        <f t="shared" si="11"/>
        <v>0.5</v>
      </c>
      <c r="N46">
        <f t="shared" si="12"/>
        <v>0.5</v>
      </c>
      <c r="O46">
        <f t="shared" si="13"/>
        <v>0.5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56D7-58A6-4D7F-ACA7-4D6F236A6CDA}">
  <sheetPr codeName="Sheet4"/>
  <dimension ref="A1:AD33"/>
  <sheetViews>
    <sheetView topLeftCell="A2" zoomScale="70" zoomScaleNormal="70" workbookViewId="0">
      <selection activeCell="O30" sqref="O30"/>
    </sheetView>
  </sheetViews>
  <sheetFormatPr defaultColWidth="8.88671875" defaultRowHeight="14.4" x14ac:dyDescent="0.3"/>
  <cols>
    <col min="12" max="12" width="8.88671875" style="13"/>
    <col min="25" max="30" width="8.88671875" style="13"/>
  </cols>
  <sheetData>
    <row r="1" spans="1:24" s="13" customFormat="1" ht="15" thickBot="1" x14ac:dyDescent="0.35"/>
    <row r="2" spans="1:24" ht="15" thickBot="1" x14ac:dyDescent="0.35">
      <c r="A2" s="13"/>
      <c r="B2" s="13" t="s">
        <v>8</v>
      </c>
      <c r="C2" s="13"/>
      <c r="D2" s="5">
        <f ca="1">+ROUND(RAND(),0)</f>
        <v>1</v>
      </c>
      <c r="E2" s="6">
        <f t="shared" ref="E2:K2" ca="1" si="0">+ROUND(RAND(),0)</f>
        <v>1</v>
      </c>
      <c r="F2" s="6">
        <f t="shared" ca="1" si="0"/>
        <v>0</v>
      </c>
      <c r="G2" s="6">
        <f t="shared" ca="1" si="0"/>
        <v>1</v>
      </c>
      <c r="H2" s="6">
        <f t="shared" ca="1" si="0"/>
        <v>0</v>
      </c>
      <c r="I2" s="6">
        <f t="shared" ca="1" si="0"/>
        <v>1</v>
      </c>
      <c r="J2" s="6">
        <f t="shared" ca="1" si="0"/>
        <v>1</v>
      </c>
      <c r="K2" s="7">
        <f t="shared" ca="1" si="0"/>
        <v>1</v>
      </c>
      <c r="M2" s="14" t="s">
        <v>10</v>
      </c>
      <c r="N2" s="13"/>
      <c r="O2" s="13"/>
      <c r="P2" s="13"/>
      <c r="Q2" s="14">
        <v>0</v>
      </c>
      <c r="R2" s="14">
        <v>1</v>
      </c>
      <c r="S2" s="14">
        <v>2</v>
      </c>
      <c r="T2" s="14">
        <v>3</v>
      </c>
      <c r="U2" s="14">
        <v>4</v>
      </c>
      <c r="V2" s="14">
        <v>5</v>
      </c>
      <c r="W2" s="14">
        <v>6</v>
      </c>
      <c r="X2" s="14">
        <v>7</v>
      </c>
    </row>
    <row r="3" spans="1:24" ht="15" thickBot="1" x14ac:dyDescent="0.35">
      <c r="A3" s="13"/>
      <c r="B3" s="13" t="s">
        <v>9</v>
      </c>
      <c r="C3" s="13"/>
      <c r="D3" s="8">
        <f ca="1">+RANDBETWEEN(0,7)</f>
        <v>0</v>
      </c>
      <c r="E3" s="13"/>
      <c r="F3" s="13"/>
      <c r="G3" s="13"/>
      <c r="H3" s="13"/>
      <c r="I3" s="13"/>
      <c r="J3" s="13"/>
      <c r="K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ht="15" thickBot="1" x14ac:dyDescent="0.35">
      <c r="A4" s="13"/>
      <c r="B4" s="13" t="s">
        <v>15</v>
      </c>
      <c r="C4" s="13"/>
      <c r="D4" s="4">
        <f ca="1">+OFFSET(D2,0,D3)</f>
        <v>1</v>
      </c>
      <c r="E4" s="13"/>
      <c r="F4" s="13"/>
      <c r="G4" s="13"/>
      <c r="H4" s="13"/>
      <c r="I4" s="13"/>
      <c r="J4" s="13"/>
      <c r="K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s="13" customFormat="1" x14ac:dyDescent="0.3"/>
    <row r="6" spans="1:24" s="13" customFormat="1" x14ac:dyDescent="0.3">
      <c r="B6" s="13" t="s">
        <v>5</v>
      </c>
      <c r="M6" s="13" t="s">
        <v>6</v>
      </c>
    </row>
    <row r="7" spans="1:24" s="13" customFormat="1" x14ac:dyDescent="0.3"/>
    <row r="8" spans="1:24" x14ac:dyDescent="0.3">
      <c r="A8" s="13"/>
      <c r="B8" s="13" t="s">
        <v>0</v>
      </c>
      <c r="C8" s="13"/>
      <c r="D8" s="1">
        <f ca="1">+D2</f>
        <v>1</v>
      </c>
      <c r="E8" s="1">
        <f t="shared" ref="E8:K8" ca="1" si="1">+E2</f>
        <v>1</v>
      </c>
      <c r="F8" s="1">
        <f t="shared" ca="1" si="1"/>
        <v>0</v>
      </c>
      <c r="G8" s="1">
        <f t="shared" ca="1" si="1"/>
        <v>1</v>
      </c>
      <c r="H8" s="1">
        <f t="shared" ca="1" si="1"/>
        <v>0</v>
      </c>
      <c r="I8" s="1">
        <f t="shared" ca="1" si="1"/>
        <v>1</v>
      </c>
      <c r="J8" s="1">
        <f t="shared" ca="1" si="1"/>
        <v>1</v>
      </c>
      <c r="K8" s="1">
        <f t="shared" ca="1" si="1"/>
        <v>1</v>
      </c>
      <c r="M8" s="13" t="s">
        <v>7</v>
      </c>
      <c r="N8" s="13"/>
      <c r="O8" s="9">
        <f ca="1">+D28</f>
        <v>0</v>
      </c>
      <c r="P8" s="13"/>
      <c r="Q8" s="1">
        <f ca="1">+IF(Q2=$D3,1,0)</f>
        <v>1</v>
      </c>
      <c r="R8" s="1">
        <f t="shared" ref="R8:X8" ca="1" si="2">+IF(R2=$D3,1,0)</f>
        <v>0</v>
      </c>
      <c r="S8" s="1">
        <f t="shared" ca="1" si="2"/>
        <v>0</v>
      </c>
      <c r="T8" s="1">
        <f t="shared" ca="1" si="2"/>
        <v>0</v>
      </c>
      <c r="U8" s="1">
        <f t="shared" ca="1" si="2"/>
        <v>0</v>
      </c>
      <c r="V8" s="1">
        <f t="shared" ca="1" si="2"/>
        <v>0</v>
      </c>
      <c r="W8" s="1">
        <f t="shared" ca="1" si="2"/>
        <v>0</v>
      </c>
      <c r="X8" s="1">
        <f t="shared" ca="1" si="2"/>
        <v>0</v>
      </c>
    </row>
    <row r="9" spans="1:24" s="13" customFormat="1" x14ac:dyDescent="0.3"/>
    <row r="10" spans="1:24" x14ac:dyDescent="0.3">
      <c r="A10" s="13"/>
      <c r="B10" s="13" t="s">
        <v>1</v>
      </c>
      <c r="C10" s="13"/>
      <c r="D10" s="1">
        <f ca="1">+MOD(D8+E8,2)</f>
        <v>0</v>
      </c>
      <c r="E10" s="1">
        <f ca="1">+MOD(F8+G8,2)</f>
        <v>1</v>
      </c>
      <c r="F10" s="1">
        <f ca="1">+MOD(H8+I8,2)</f>
        <v>1</v>
      </c>
      <c r="G10" s="1">
        <f ca="1">+MOD(J8+K8,2)</f>
        <v>0</v>
      </c>
      <c r="H10" s="13" t="s">
        <v>11</v>
      </c>
      <c r="I10" s="13"/>
      <c r="J10" s="13"/>
      <c r="K10" s="13"/>
      <c r="M10" s="13" t="s">
        <v>1</v>
      </c>
      <c r="N10" s="13"/>
      <c r="O10" s="13"/>
      <c r="P10" s="13"/>
      <c r="Q10" s="1">
        <f ca="1">+IF(AND(NOT(Q8),R8),1,0)</f>
        <v>0</v>
      </c>
      <c r="R10" s="1">
        <f ca="1">+IF(AND(NOT(S8),T8),1,0)</f>
        <v>0</v>
      </c>
      <c r="S10" s="1">
        <f ca="1">+IF(AND(NOT(U8),V8),1,0)</f>
        <v>0</v>
      </c>
      <c r="T10" s="1">
        <f ca="1">+IF(AND(NOT(W8),X8),1,0)</f>
        <v>0</v>
      </c>
      <c r="U10" s="13" t="s">
        <v>13</v>
      </c>
      <c r="V10" s="13"/>
      <c r="W10" s="13"/>
      <c r="X10" s="13"/>
    </row>
    <row r="11" spans="1:24" s="13" customFormat="1" x14ac:dyDescent="0.3"/>
    <row r="12" spans="1:24" x14ac:dyDescent="0.3">
      <c r="A12" s="13"/>
      <c r="B12" s="13" t="s">
        <v>2</v>
      </c>
      <c r="C12" s="13"/>
      <c r="D12" s="3">
        <f ca="1">+ROUND(RAND(),0)</f>
        <v>1</v>
      </c>
      <c r="E12" s="3">
        <f t="shared" ref="E12:G12" ca="1" si="3">+ROUND(RAND(),0)</f>
        <v>0</v>
      </c>
      <c r="F12" s="3">
        <f t="shared" ca="1" si="3"/>
        <v>1</v>
      </c>
      <c r="G12" s="3">
        <f t="shared" ca="1" si="3"/>
        <v>0</v>
      </c>
      <c r="H12" s="13"/>
      <c r="I12" s="13"/>
      <c r="J12" s="13"/>
      <c r="K12" s="13"/>
      <c r="M12" s="13" t="s">
        <v>2</v>
      </c>
      <c r="N12" s="13"/>
      <c r="O12" s="13"/>
      <c r="P12" s="13"/>
      <c r="Q12" s="3">
        <f ca="1">+IF(AND(Q10=1,D10=1),MOD(1+D12,2),D12)</f>
        <v>1</v>
      </c>
      <c r="R12" s="3">
        <f ca="1">+IF(AND(R10=1,E10=1),MOD(1+E12,2),E12)</f>
        <v>0</v>
      </c>
      <c r="S12" s="3">
        <f ca="1">+IF(AND(S10=1,F10=1),MOD(1+F12,2),F12)</f>
        <v>1</v>
      </c>
      <c r="T12" s="3">
        <f ca="1">+IF(AND(T10=1,G10=1),MOD(1+G12,2),G12)</f>
        <v>0</v>
      </c>
      <c r="U12" s="13"/>
      <c r="V12" s="13"/>
      <c r="W12" s="13"/>
      <c r="X12" s="13"/>
    </row>
    <row r="13" spans="1:24" s="13" customFormat="1" x14ac:dyDescent="0.3"/>
    <row r="14" spans="1:24" x14ac:dyDescent="0.3">
      <c r="A14" s="13"/>
      <c r="B14" s="13" t="s">
        <v>3</v>
      </c>
      <c r="C14" s="13"/>
      <c r="D14" s="1">
        <f ca="1">+MOD(D12+D8,2)</f>
        <v>0</v>
      </c>
      <c r="E14" s="1">
        <f ca="1">+MOD(E12+F8,2)</f>
        <v>0</v>
      </c>
      <c r="F14" s="1">
        <f ca="1">+MOD(F12+H8,2)</f>
        <v>1</v>
      </c>
      <c r="G14" s="1">
        <f ca="1">+MOD(G12+J8,2)</f>
        <v>1</v>
      </c>
      <c r="H14" s="13" t="s">
        <v>12</v>
      </c>
      <c r="I14" s="13"/>
      <c r="J14" s="13"/>
      <c r="K14" s="13"/>
      <c r="M14" s="13" t="s">
        <v>3</v>
      </c>
      <c r="N14" s="13"/>
      <c r="O14" s="1">
        <f ca="1">+MOD(O8+SUMPRODUCT(Q12:T12,Q14:T14),2)</f>
        <v>1</v>
      </c>
      <c r="P14" s="13"/>
      <c r="Q14" s="1">
        <f ca="1">+MOD(Q8+R8,2)</f>
        <v>1</v>
      </c>
      <c r="R14" s="1">
        <f ca="1">+MOD(S8+T8,2)</f>
        <v>0</v>
      </c>
      <c r="S14" s="1">
        <f ca="1">+MOD(U8+V8,2)</f>
        <v>0</v>
      </c>
      <c r="T14" s="1">
        <f ca="1">+MOD(W8+X8,2)</f>
        <v>0</v>
      </c>
      <c r="U14" s="13" t="s">
        <v>14</v>
      </c>
      <c r="V14" s="13"/>
      <c r="W14" s="13"/>
      <c r="X14" s="13"/>
    </row>
    <row r="15" spans="1:24" s="13" customFormat="1" x14ac:dyDescent="0.3"/>
    <row r="16" spans="1:24" x14ac:dyDescent="0.3">
      <c r="A16" s="13"/>
      <c r="B16" s="13" t="s">
        <v>1</v>
      </c>
      <c r="C16" s="13"/>
      <c r="D16" s="1">
        <f ca="1">+MOD(D14+E14,2)</f>
        <v>0</v>
      </c>
      <c r="E16" s="1">
        <f ca="1">+MOD(F14+G14,2)</f>
        <v>0</v>
      </c>
      <c r="F16" s="13" t="s">
        <v>11</v>
      </c>
      <c r="G16" s="13"/>
      <c r="H16" s="13"/>
      <c r="I16" s="13"/>
      <c r="J16" s="13"/>
      <c r="K16" s="13"/>
      <c r="M16" s="13" t="s">
        <v>1</v>
      </c>
      <c r="N16" s="13"/>
      <c r="O16" s="13"/>
      <c r="P16" s="13"/>
      <c r="Q16" s="1">
        <f ca="1">+IF(AND(NOT(Q14),R14),1,0)</f>
        <v>0</v>
      </c>
      <c r="R16" s="1">
        <f ca="1">+IF(AND(NOT(S14),T14),1,0)</f>
        <v>0</v>
      </c>
      <c r="S16" s="13" t="s">
        <v>13</v>
      </c>
      <c r="T16" s="13"/>
      <c r="U16" s="13"/>
      <c r="V16" s="13"/>
      <c r="W16" s="13"/>
      <c r="X16" s="13"/>
    </row>
    <row r="17" spans="1:24" s="13" customFormat="1" x14ac:dyDescent="0.3"/>
    <row r="18" spans="1:24" x14ac:dyDescent="0.3">
      <c r="A18" s="13"/>
      <c r="B18" s="13" t="s">
        <v>2</v>
      </c>
      <c r="C18" s="13"/>
      <c r="D18" s="3">
        <f ca="1">+ROUND(RAND(),0)</f>
        <v>0</v>
      </c>
      <c r="E18" s="3">
        <f t="shared" ref="E18" ca="1" si="4">+ROUND(RAND(),0)</f>
        <v>0</v>
      </c>
      <c r="F18" s="13"/>
      <c r="G18" s="13"/>
      <c r="H18" s="13"/>
      <c r="I18" s="13"/>
      <c r="J18" s="13"/>
      <c r="K18" s="13"/>
      <c r="M18" s="13" t="s">
        <v>2</v>
      </c>
      <c r="N18" s="13"/>
      <c r="O18" s="13"/>
      <c r="P18" s="13"/>
      <c r="Q18" s="3">
        <f ca="1">+IF(AND(Q16=1,D16=1),MOD(1+D18,2),D18)</f>
        <v>0</v>
      </c>
      <c r="R18" s="3">
        <f ca="1">+IF(AND(R16=1,E16=1),MOD(1+E18,2),E18)</f>
        <v>0</v>
      </c>
      <c r="S18" s="13"/>
      <c r="T18" s="13"/>
      <c r="U18" s="13"/>
      <c r="V18" s="13"/>
      <c r="W18" s="13"/>
      <c r="X18" s="13"/>
    </row>
    <row r="19" spans="1:24" s="13" customFormat="1" x14ac:dyDescent="0.3"/>
    <row r="20" spans="1:24" x14ac:dyDescent="0.3">
      <c r="A20" s="13"/>
      <c r="B20" s="13" t="s">
        <v>3</v>
      </c>
      <c r="C20" s="13"/>
      <c r="D20" s="1">
        <f ca="1">+MOD(D18+D14,2)</f>
        <v>0</v>
      </c>
      <c r="E20" s="1">
        <f ca="1">+MOD(E18+F14,2)</f>
        <v>1</v>
      </c>
      <c r="F20" s="13" t="s">
        <v>12</v>
      </c>
      <c r="G20" s="13"/>
      <c r="H20" s="13"/>
      <c r="I20" s="13"/>
      <c r="J20" s="13"/>
      <c r="K20" s="13"/>
      <c r="M20" s="13" t="s">
        <v>3</v>
      </c>
      <c r="N20" s="13"/>
      <c r="O20" s="1">
        <f ca="1">+MOD(O14+SUMPRODUCT(Q18:T18,Q20:T20),2)</f>
        <v>1</v>
      </c>
      <c r="P20" s="13"/>
      <c r="Q20" s="1">
        <f ca="1">+MOD(Q14+R14,2)</f>
        <v>1</v>
      </c>
      <c r="R20" s="1">
        <f ca="1">+MOD(S14+T14,2)</f>
        <v>0</v>
      </c>
      <c r="S20" s="13" t="s">
        <v>14</v>
      </c>
      <c r="T20" s="13"/>
      <c r="U20" s="13"/>
      <c r="V20" s="13"/>
      <c r="W20" s="13"/>
      <c r="X20" s="13"/>
    </row>
    <row r="21" spans="1:24" s="13" customFormat="1" x14ac:dyDescent="0.3"/>
    <row r="22" spans="1:24" x14ac:dyDescent="0.3">
      <c r="A22" s="13"/>
      <c r="B22" s="13" t="s">
        <v>1</v>
      </c>
      <c r="C22" s="13"/>
      <c r="D22" s="1">
        <f ca="1">+MOD(D20+E20,2)</f>
        <v>1</v>
      </c>
      <c r="E22" s="13" t="s">
        <v>11</v>
      </c>
      <c r="F22" s="13"/>
      <c r="G22" s="13"/>
      <c r="H22" s="13"/>
      <c r="I22" s="13"/>
      <c r="J22" s="13"/>
      <c r="K22" s="13"/>
      <c r="M22" s="13" t="s">
        <v>1</v>
      </c>
      <c r="N22" s="13"/>
      <c r="O22" s="13"/>
      <c r="P22" s="13"/>
      <c r="Q22" s="1">
        <f ca="1">+IF(AND(NOT(Q20),R20),1,0)</f>
        <v>0</v>
      </c>
      <c r="R22" s="13" t="s">
        <v>13</v>
      </c>
      <c r="S22" s="13"/>
      <c r="T22" s="13"/>
      <c r="U22" s="13"/>
      <c r="V22" s="13"/>
      <c r="W22" s="13"/>
      <c r="X22" s="13"/>
    </row>
    <row r="23" spans="1:24" s="13" customFormat="1" x14ac:dyDescent="0.3"/>
    <row r="24" spans="1:24" x14ac:dyDescent="0.3">
      <c r="A24" s="13"/>
      <c r="B24" s="13" t="s">
        <v>2</v>
      </c>
      <c r="C24" s="13"/>
      <c r="D24" s="3">
        <f ca="1">+ROUND(RAND(),0)</f>
        <v>0</v>
      </c>
      <c r="E24" s="13"/>
      <c r="F24" s="13"/>
      <c r="G24" s="13"/>
      <c r="H24" s="13"/>
      <c r="I24" s="13"/>
      <c r="J24" s="13"/>
      <c r="K24" s="13"/>
      <c r="M24" s="13" t="s">
        <v>2</v>
      </c>
      <c r="N24" s="13"/>
      <c r="O24" s="13"/>
      <c r="P24" s="13"/>
      <c r="Q24" s="3">
        <f ca="1">+IF(AND(Q22=1,D22=1),MOD(1+D24,2),D24)</f>
        <v>0</v>
      </c>
      <c r="R24" s="13"/>
      <c r="S24" s="13"/>
      <c r="T24" s="13"/>
      <c r="U24" s="13"/>
      <c r="V24" s="13"/>
      <c r="W24" s="13"/>
      <c r="X24" s="13"/>
    </row>
    <row r="25" spans="1:24" s="13" customFormat="1" x14ac:dyDescent="0.3"/>
    <row r="26" spans="1:24" x14ac:dyDescent="0.3">
      <c r="A26" s="13"/>
      <c r="B26" s="13" t="s">
        <v>3</v>
      </c>
      <c r="C26" s="13"/>
      <c r="D26" s="1">
        <f ca="1">+MOD(D24+D20,2)</f>
        <v>0</v>
      </c>
      <c r="E26" s="13" t="s">
        <v>12</v>
      </c>
      <c r="F26" s="13"/>
      <c r="G26" s="13"/>
      <c r="H26" s="13"/>
      <c r="I26" s="13"/>
      <c r="J26" s="13"/>
      <c r="K26" s="13"/>
      <c r="M26" s="13" t="s">
        <v>3</v>
      </c>
      <c r="N26" s="13"/>
      <c r="O26" s="1">
        <f ca="1">+MOD(O20+SUMPRODUCT(Q24:T24,Q26:T26),2)</f>
        <v>1</v>
      </c>
      <c r="P26" s="13"/>
      <c r="Q26" s="1">
        <f ca="1">+MOD(Q20+R20,2)</f>
        <v>1</v>
      </c>
      <c r="R26" s="13" t="s">
        <v>14</v>
      </c>
      <c r="S26" s="13"/>
      <c r="T26" s="13"/>
      <c r="U26" s="13"/>
      <c r="V26" s="13"/>
      <c r="W26" s="13"/>
      <c r="X26" s="13"/>
    </row>
    <row r="27" spans="1:24" s="13" customFormat="1" ht="15" thickBot="1" x14ac:dyDescent="0.35"/>
    <row r="28" spans="1:24" ht="15" thickBot="1" x14ac:dyDescent="0.35">
      <c r="A28" s="13"/>
      <c r="B28" s="13" t="s">
        <v>4</v>
      </c>
      <c r="C28" s="13"/>
      <c r="D28" s="2">
        <f ca="1">+D26</f>
        <v>0</v>
      </c>
      <c r="E28" s="13"/>
      <c r="F28" s="13"/>
      <c r="G28" s="13"/>
      <c r="H28" s="13"/>
      <c r="I28" s="13"/>
      <c r="J28" s="13"/>
      <c r="K28" s="13"/>
      <c r="M28" s="13" t="s">
        <v>16</v>
      </c>
      <c r="N28" s="13"/>
      <c r="O28" s="4">
        <f ca="1">+O26</f>
        <v>1</v>
      </c>
      <c r="P28" s="13"/>
      <c r="Q28" s="13"/>
      <c r="R28" s="13"/>
      <c r="S28" s="13"/>
      <c r="T28" s="13"/>
      <c r="U28" s="13"/>
      <c r="V28" s="13"/>
      <c r="W28" s="13"/>
      <c r="X28" s="13"/>
    </row>
    <row r="29" spans="1:24" s="13" customFormat="1" ht="15" thickBot="1" x14ac:dyDescent="0.35"/>
    <row r="30" spans="1:24" ht="15" thickBot="1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M30" s="10" t="s">
        <v>17</v>
      </c>
      <c r="N30" s="11"/>
      <c r="O30" s="12" t="b">
        <f ca="1">+O26=SUMPRODUCT(Q8:X8,D8:K8)</f>
        <v>1</v>
      </c>
      <c r="P30" s="13"/>
      <c r="Q30" s="13"/>
      <c r="R30" s="13"/>
      <c r="S30" s="13"/>
      <c r="T30" s="13"/>
      <c r="U30" s="13"/>
      <c r="V30" s="13"/>
      <c r="W30" s="13"/>
      <c r="X30" s="13"/>
    </row>
    <row r="31" spans="1:24" s="13" customFormat="1" x14ac:dyDescent="0.3"/>
    <row r="32" spans="1:24" s="13" customFormat="1" x14ac:dyDescent="0.3"/>
    <row r="33" s="13" customFormat="1" x14ac:dyDescent="0.3"/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33"/>
  <sheetViews>
    <sheetView zoomScale="70" zoomScaleNormal="70" workbookViewId="0">
      <selection activeCell="F31" sqref="F31"/>
    </sheetView>
  </sheetViews>
  <sheetFormatPr defaultColWidth="8.88671875" defaultRowHeight="14.4" x14ac:dyDescent="0.3"/>
  <cols>
    <col min="12" max="12" width="8.88671875" style="13"/>
    <col min="25" max="30" width="8.88671875" style="13"/>
  </cols>
  <sheetData>
    <row r="1" spans="1:34" s="13" customFormat="1" ht="15" thickBot="1" x14ac:dyDescent="0.35"/>
    <row r="2" spans="1:34" ht="15" thickBot="1" x14ac:dyDescent="0.35">
      <c r="A2" s="13"/>
      <c r="B2" s="13" t="s">
        <v>8</v>
      </c>
      <c r="C2" s="13"/>
      <c r="D2" s="5">
        <f ca="1">+ROUND(RAND(),0)</f>
        <v>0</v>
      </c>
      <c r="E2" s="6">
        <f t="shared" ref="E2:K2" ca="1" si="0">+ROUND(RAND(),0)</f>
        <v>0</v>
      </c>
      <c r="F2" s="6">
        <f t="shared" ca="1" si="0"/>
        <v>0</v>
      </c>
      <c r="G2" s="6">
        <f t="shared" ca="1" si="0"/>
        <v>0</v>
      </c>
      <c r="H2" s="6">
        <f t="shared" ca="1" si="0"/>
        <v>0</v>
      </c>
      <c r="I2" s="6">
        <f t="shared" ca="1" si="0"/>
        <v>0</v>
      </c>
      <c r="J2" s="6">
        <f t="shared" ca="1" si="0"/>
        <v>0</v>
      </c>
      <c r="K2" s="7">
        <f t="shared" ca="1" si="0"/>
        <v>0</v>
      </c>
      <c r="M2" s="14" t="s">
        <v>10</v>
      </c>
      <c r="N2" s="13"/>
      <c r="O2" s="13"/>
      <c r="P2" s="13"/>
      <c r="Q2" s="14">
        <v>0</v>
      </c>
      <c r="R2" s="14">
        <v>1</v>
      </c>
      <c r="S2" s="14">
        <v>2</v>
      </c>
      <c r="T2" s="14">
        <v>3</v>
      </c>
      <c r="U2" s="14">
        <v>4</v>
      </c>
      <c r="V2" s="14">
        <v>5</v>
      </c>
      <c r="W2" s="14">
        <v>6</v>
      </c>
      <c r="X2" s="14">
        <v>7</v>
      </c>
    </row>
    <row r="3" spans="1:34" ht="15" thickBot="1" x14ac:dyDescent="0.35">
      <c r="A3" s="13"/>
      <c r="B3" s="13" t="s">
        <v>9</v>
      </c>
      <c r="C3" s="13"/>
      <c r="D3" s="8">
        <f ca="1">+RANDBETWEEN(0,7)</f>
        <v>2</v>
      </c>
      <c r="E3" s="13"/>
      <c r="F3" s="13"/>
      <c r="G3" s="13"/>
      <c r="H3" s="13"/>
      <c r="I3" s="13"/>
      <c r="J3" s="13"/>
      <c r="K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34" ht="15" thickBot="1" x14ac:dyDescent="0.35">
      <c r="A4" s="13"/>
      <c r="B4" s="13" t="s">
        <v>15</v>
      </c>
      <c r="C4" s="13"/>
      <c r="D4" s="4">
        <f ca="1">+OFFSET(D2,0,D3)</f>
        <v>0</v>
      </c>
      <c r="E4" s="13"/>
      <c r="F4" s="13"/>
      <c r="G4" s="13"/>
      <c r="H4" s="13"/>
      <c r="I4" s="13"/>
      <c r="J4" s="13"/>
      <c r="K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34" s="13" customFormat="1" x14ac:dyDescent="0.3"/>
    <row r="6" spans="1:34" s="13" customFormat="1" x14ac:dyDescent="0.3">
      <c r="B6" s="13" t="s">
        <v>5</v>
      </c>
      <c r="M6" s="13" t="s">
        <v>6</v>
      </c>
    </row>
    <row r="7" spans="1:34" s="13" customFormat="1" x14ac:dyDescent="0.3">
      <c r="D7" s="14">
        <v>0</v>
      </c>
      <c r="E7" s="14">
        <v>1</v>
      </c>
      <c r="F7" s="14">
        <v>2</v>
      </c>
      <c r="G7" s="14">
        <v>3</v>
      </c>
      <c r="H7" s="14">
        <v>4</v>
      </c>
      <c r="I7" s="14">
        <v>5</v>
      </c>
      <c r="J7" s="14">
        <v>6</v>
      </c>
      <c r="K7" s="14">
        <v>7</v>
      </c>
    </row>
    <row r="8" spans="1:34" x14ac:dyDescent="0.3">
      <c r="A8" s="13"/>
      <c r="B8" s="13" t="s">
        <v>0</v>
      </c>
      <c r="C8" s="13"/>
      <c r="D8" s="1">
        <f ca="1">+D2</f>
        <v>0</v>
      </c>
      <c r="E8" s="1">
        <f t="shared" ref="E8:K8" ca="1" si="1">+E2</f>
        <v>0</v>
      </c>
      <c r="F8" s="1">
        <f t="shared" ca="1" si="1"/>
        <v>0</v>
      </c>
      <c r="G8" s="1">
        <f t="shared" ca="1" si="1"/>
        <v>0</v>
      </c>
      <c r="H8" s="1">
        <f t="shared" ca="1" si="1"/>
        <v>0</v>
      </c>
      <c r="I8" s="1">
        <f t="shared" ca="1" si="1"/>
        <v>0</v>
      </c>
      <c r="J8" s="1">
        <f t="shared" ca="1" si="1"/>
        <v>0</v>
      </c>
      <c r="K8" s="1">
        <f t="shared" ca="1" si="1"/>
        <v>0</v>
      </c>
      <c r="M8" s="13" t="s">
        <v>7</v>
      </c>
      <c r="N8" s="13"/>
      <c r="O8" s="9">
        <f ca="1">+D28</f>
        <v>1</v>
      </c>
      <c r="P8" s="13"/>
      <c r="Q8" s="1">
        <f ca="1">+IF(Q2=$D3,1,0)</f>
        <v>0</v>
      </c>
      <c r="R8" s="1">
        <f t="shared" ref="R8:X8" ca="1" si="2">+IF(R2=$D3,1,0)</f>
        <v>0</v>
      </c>
      <c r="S8" s="1">
        <f t="shared" ca="1" si="2"/>
        <v>1</v>
      </c>
      <c r="T8" s="1">
        <f t="shared" ca="1" si="2"/>
        <v>0</v>
      </c>
      <c r="U8" s="1">
        <f t="shared" ca="1" si="2"/>
        <v>0</v>
      </c>
      <c r="V8" s="1">
        <f t="shared" ca="1" si="2"/>
        <v>0</v>
      </c>
      <c r="W8" s="1">
        <f t="shared" ca="1" si="2"/>
        <v>0</v>
      </c>
      <c r="X8" s="1">
        <f t="shared" ca="1" si="2"/>
        <v>0</v>
      </c>
    </row>
    <row r="9" spans="1:34" s="13" customFormat="1" x14ac:dyDescent="0.3">
      <c r="H9" s="13" t="s">
        <v>19</v>
      </c>
      <c r="U9" s="13" t="s">
        <v>21</v>
      </c>
    </row>
    <row r="10" spans="1:34" x14ac:dyDescent="0.3">
      <c r="A10" s="13"/>
      <c r="B10" s="13" t="s">
        <v>1</v>
      </c>
      <c r="C10" s="13"/>
      <c r="D10" s="1">
        <f ca="1">+MOD(D8+E8,2)</f>
        <v>0</v>
      </c>
      <c r="E10" s="1">
        <f ca="1">+MOD(F8+G8,2)</f>
        <v>0</v>
      </c>
      <c r="F10" s="1">
        <f ca="1">+MOD(H8+I8,2)</f>
        <v>0</v>
      </c>
      <c r="G10" s="1">
        <f ca="1">+MOD(J8+K8,2)</f>
        <v>0</v>
      </c>
      <c r="H10" s="13" t="s">
        <v>11</v>
      </c>
      <c r="I10" s="13"/>
      <c r="J10" s="13"/>
      <c r="K10" s="13"/>
      <c r="M10" s="13" t="s">
        <v>1</v>
      </c>
      <c r="N10" s="13"/>
      <c r="O10" s="13"/>
      <c r="P10" s="13"/>
      <c r="Q10" s="1">
        <f ca="1">+IF(AND(NOT(Q8),R8),1,0)</f>
        <v>0</v>
      </c>
      <c r="R10" s="1">
        <f ca="1">+IF(AND(NOT(S8),T8),1,0)</f>
        <v>0</v>
      </c>
      <c r="S10" s="1">
        <f ca="1">+IF(AND(NOT(U8),V8),1,0)</f>
        <v>0</v>
      </c>
      <c r="T10" s="1">
        <f ca="1">+IF(AND(NOT(W8),X8),1,0)</f>
        <v>0</v>
      </c>
      <c r="U10" s="13" t="s">
        <v>13</v>
      </c>
      <c r="V10" s="13"/>
      <c r="W10" s="13"/>
      <c r="X10" s="13"/>
    </row>
    <row r="11" spans="1:34" s="13" customFormat="1" x14ac:dyDescent="0.3"/>
    <row r="12" spans="1:34" x14ac:dyDescent="0.3">
      <c r="A12" s="13"/>
      <c r="B12" s="13" t="s">
        <v>2</v>
      </c>
      <c r="C12" s="13"/>
      <c r="D12" s="3">
        <f ca="1">+ROUND(RAND(),0)</f>
        <v>1</v>
      </c>
      <c r="E12" s="3">
        <f t="shared" ref="E12:G12" ca="1" si="3">+ROUND(RAND(),0)</f>
        <v>1</v>
      </c>
      <c r="F12" s="3">
        <f t="shared" ca="1" si="3"/>
        <v>0</v>
      </c>
      <c r="G12" s="3">
        <f t="shared" ca="1" si="3"/>
        <v>0</v>
      </c>
      <c r="H12" s="13"/>
      <c r="I12" s="13"/>
      <c r="J12" s="13"/>
      <c r="K12" s="13"/>
      <c r="M12" s="13" t="s">
        <v>2</v>
      </c>
      <c r="N12" s="13"/>
      <c r="O12" s="13"/>
      <c r="P12" s="13"/>
      <c r="Q12" s="3">
        <f ca="1">+IF(AND(Q10=1,D10=1),MOD(1+D12,2),D12)</f>
        <v>1</v>
      </c>
      <c r="R12" s="3">
        <f ca="1">+IF(AND(R10=1,E10=1),MOD(1+E12,2),E12)</f>
        <v>1</v>
      </c>
      <c r="S12" s="3">
        <f ca="1">+IF(AND(S10=1,F10=1),MOD(1+F12,2),F12)</f>
        <v>0</v>
      </c>
      <c r="T12" s="3">
        <f ca="1">+IF(AND(T10=1,G10=1),MOD(1+G12,2),G12)</f>
        <v>0</v>
      </c>
      <c r="U12" s="13"/>
      <c r="V12" s="13"/>
      <c r="W12" s="13"/>
      <c r="X12" s="13"/>
      <c r="AE12" t="b">
        <f ca="1">+IF(AND(D10=1,Q10=1),NOT(D12=Q12),D12=Q12)</f>
        <v>1</v>
      </c>
      <c r="AF12" t="b">
        <f ca="1">+IF(AND(E10=1,R10=1),NOT(E12=R12),E12=R12)</f>
        <v>1</v>
      </c>
      <c r="AG12" t="b">
        <f ca="1">+IF(AND(F10=1,S10=1),NOT(F12=S12),F12=S12)</f>
        <v>1</v>
      </c>
      <c r="AH12" t="b">
        <f ca="1">+IF(AND(G10=1,T10=1),NOT(G12=T12),G12=T12)</f>
        <v>1</v>
      </c>
    </row>
    <row r="13" spans="1:34" s="13" customFormat="1" x14ac:dyDescent="0.3">
      <c r="H13" s="13" t="s">
        <v>20</v>
      </c>
    </row>
    <row r="14" spans="1:34" x14ac:dyDescent="0.3">
      <c r="A14" s="13"/>
      <c r="B14" s="13" t="s">
        <v>3</v>
      </c>
      <c r="C14" s="13"/>
      <c r="D14" s="1">
        <f ca="1">+MOD(1+D12+D8,2)</f>
        <v>0</v>
      </c>
      <c r="E14" s="1">
        <f ca="1">+MOD(1+E12+F8,2)</f>
        <v>0</v>
      </c>
      <c r="F14" s="1">
        <f ca="1">+MOD(1+F12+H8,2)</f>
        <v>1</v>
      </c>
      <c r="G14" s="1">
        <f ca="1">+MOD(1+G12+J8,2)</f>
        <v>1</v>
      </c>
      <c r="H14" s="13" t="s">
        <v>18</v>
      </c>
      <c r="I14" s="13"/>
      <c r="J14" s="13"/>
      <c r="K14" s="13"/>
      <c r="M14" s="13" t="s">
        <v>3</v>
      </c>
      <c r="N14" s="13"/>
      <c r="O14" s="1">
        <f ca="1">+MOD(O8+SUMPRODUCT(Q12:T12,Q14:T14),2)</f>
        <v>0</v>
      </c>
      <c r="P14" s="13"/>
      <c r="Q14" s="1">
        <f ca="1">+MOD(Q8+R8,2)</f>
        <v>0</v>
      </c>
      <c r="R14" s="1">
        <f ca="1">+MOD(S8+T8,2)</f>
        <v>1</v>
      </c>
      <c r="S14" s="1">
        <f ca="1">+MOD(U8+V8,2)</f>
        <v>0</v>
      </c>
      <c r="T14" s="1">
        <f ca="1">+MOD(W8+X8,2)</f>
        <v>0</v>
      </c>
      <c r="U14" s="13" t="s">
        <v>14</v>
      </c>
      <c r="V14" s="13"/>
      <c r="W14" s="13"/>
      <c r="X14" s="13"/>
    </row>
    <row r="15" spans="1:34" s="13" customFormat="1" x14ac:dyDescent="0.3">
      <c r="F15" s="13" t="s">
        <v>19</v>
      </c>
    </row>
    <row r="16" spans="1:34" x14ac:dyDescent="0.3">
      <c r="A16" s="13"/>
      <c r="B16" s="13" t="s">
        <v>1</v>
      </c>
      <c r="C16" s="13"/>
      <c r="D16" s="1">
        <f ca="1">+MOD(D14+E14,2)</f>
        <v>0</v>
      </c>
      <c r="E16" s="1">
        <f ca="1">+MOD(F14+G14,2)</f>
        <v>0</v>
      </c>
      <c r="F16" s="13" t="s">
        <v>11</v>
      </c>
      <c r="G16" s="13"/>
      <c r="H16" s="13"/>
      <c r="I16" s="13"/>
      <c r="J16" s="13"/>
      <c r="K16" s="13"/>
      <c r="M16" s="13" t="s">
        <v>1</v>
      </c>
      <c r="N16" s="13"/>
      <c r="O16" s="13"/>
      <c r="P16" s="13"/>
      <c r="Q16" s="1">
        <f ca="1">+IF(AND(NOT(Q14),R14),1,0)</f>
        <v>1</v>
      </c>
      <c r="R16" s="1">
        <f ca="1">+IF(AND(NOT(S14),T14),1,0)</f>
        <v>0</v>
      </c>
      <c r="S16" s="13" t="s">
        <v>13</v>
      </c>
      <c r="T16" s="13"/>
      <c r="U16" s="13"/>
      <c r="V16" s="13"/>
      <c r="W16" s="13"/>
      <c r="X16" s="13"/>
    </row>
    <row r="17" spans="1:32" s="13" customFormat="1" x14ac:dyDescent="0.3"/>
    <row r="18" spans="1:32" x14ac:dyDescent="0.3">
      <c r="A18" s="13"/>
      <c r="B18" s="13" t="s">
        <v>2</v>
      </c>
      <c r="C18" s="13"/>
      <c r="D18" s="3">
        <f ca="1">+ROUND(RAND(),0)</f>
        <v>0</v>
      </c>
      <c r="E18" s="3">
        <f t="shared" ref="E18" ca="1" si="4">+ROUND(RAND(),0)</f>
        <v>1</v>
      </c>
      <c r="F18" s="13"/>
      <c r="G18" s="13"/>
      <c r="H18" s="13"/>
      <c r="I18" s="13"/>
      <c r="J18" s="13"/>
      <c r="K18" s="13"/>
      <c r="M18" s="13" t="s">
        <v>2</v>
      </c>
      <c r="N18" s="13"/>
      <c r="O18" s="13"/>
      <c r="P18" s="13"/>
      <c r="Q18" s="3">
        <f ca="1">+IF(AND(Q16=1,D16=1),MOD(1+D18,2),D18)</f>
        <v>0</v>
      </c>
      <c r="R18" s="3">
        <f ca="1">+IF(AND(R16=1,E16=1),MOD(1+E18,2),E18)</f>
        <v>1</v>
      </c>
      <c r="S18" s="13"/>
      <c r="T18" s="13"/>
      <c r="U18" s="13"/>
      <c r="V18" s="13"/>
      <c r="W18" s="13"/>
      <c r="X18" s="13"/>
      <c r="AE18" t="b">
        <f ca="1">+IF(AND(D16=1,Q16=1),NOT(D18=Q18),D18=Q18)</f>
        <v>1</v>
      </c>
      <c r="AF18" t="b">
        <f ca="1">+IF(AND(E16=1,R16=1),NOT(E18=R18),E18=R18)</f>
        <v>1</v>
      </c>
    </row>
    <row r="19" spans="1:32" s="13" customFormat="1" x14ac:dyDescent="0.3">
      <c r="F19" s="13" t="s">
        <v>20</v>
      </c>
    </row>
    <row r="20" spans="1:32" x14ac:dyDescent="0.3">
      <c r="A20" s="13"/>
      <c r="B20" s="13" t="s">
        <v>3</v>
      </c>
      <c r="C20" s="13"/>
      <c r="D20" s="1">
        <f ca="1">+MOD(1+D18+D14,2)</f>
        <v>1</v>
      </c>
      <c r="E20" s="1">
        <f ca="1">+MOD(1+E18+F14,2)</f>
        <v>1</v>
      </c>
      <c r="F20" s="13" t="s">
        <v>18</v>
      </c>
      <c r="G20" s="13"/>
      <c r="H20" s="13"/>
      <c r="I20" s="13"/>
      <c r="J20" s="13"/>
      <c r="K20" s="13"/>
      <c r="M20" s="13" t="s">
        <v>3</v>
      </c>
      <c r="N20" s="13"/>
      <c r="O20" s="1">
        <f ca="1">+MOD(O14+SUMPRODUCT(Q18:T18,Q20:T20),2)</f>
        <v>0</v>
      </c>
      <c r="P20" s="13"/>
      <c r="Q20" s="1">
        <f ca="1">+MOD(Q14+R14,2)</f>
        <v>1</v>
      </c>
      <c r="R20" s="1">
        <f ca="1">+MOD(S14+T14,2)</f>
        <v>0</v>
      </c>
      <c r="S20" s="13" t="s">
        <v>14</v>
      </c>
      <c r="T20" s="13"/>
      <c r="U20" s="13"/>
      <c r="V20" s="13"/>
      <c r="W20" s="13"/>
      <c r="X20" s="13"/>
    </row>
    <row r="21" spans="1:32" s="13" customFormat="1" x14ac:dyDescent="0.3">
      <c r="E21" s="13" t="s">
        <v>19</v>
      </c>
    </row>
    <row r="22" spans="1:32" x14ac:dyDescent="0.3">
      <c r="A22" s="13"/>
      <c r="B22" s="13" t="s">
        <v>1</v>
      </c>
      <c r="C22" s="13"/>
      <c r="D22" s="1">
        <f ca="1">+MOD(D20+E20,2)</f>
        <v>0</v>
      </c>
      <c r="E22" s="13" t="s">
        <v>11</v>
      </c>
      <c r="F22" s="13"/>
      <c r="G22" s="13"/>
      <c r="H22" s="13"/>
      <c r="I22" s="13"/>
      <c r="J22" s="13"/>
      <c r="K22" s="13"/>
      <c r="M22" s="13" t="s">
        <v>1</v>
      </c>
      <c r="N22" s="13"/>
      <c r="O22" s="13"/>
      <c r="P22" s="13"/>
      <c r="Q22" s="1">
        <f ca="1">+IF(AND(NOT(Q20),R20),1,0)</f>
        <v>0</v>
      </c>
      <c r="R22" s="13" t="s">
        <v>13</v>
      </c>
      <c r="S22" s="13"/>
      <c r="T22" s="13"/>
      <c r="U22" s="13"/>
      <c r="V22" s="13"/>
      <c r="W22" s="13"/>
      <c r="X22" s="13"/>
    </row>
    <row r="23" spans="1:32" s="13" customFormat="1" x14ac:dyDescent="0.3"/>
    <row r="24" spans="1:32" x14ac:dyDescent="0.3">
      <c r="A24" s="13"/>
      <c r="B24" s="13" t="s">
        <v>2</v>
      </c>
      <c r="C24" s="13"/>
      <c r="D24" s="3">
        <f ca="1">+ROUND(RAND(),0)</f>
        <v>1</v>
      </c>
      <c r="E24" s="13"/>
      <c r="F24" s="13"/>
      <c r="G24" s="13"/>
      <c r="H24" s="13"/>
      <c r="I24" s="13"/>
      <c r="J24" s="13"/>
      <c r="K24" s="13"/>
      <c r="M24" s="13" t="s">
        <v>2</v>
      </c>
      <c r="N24" s="13"/>
      <c r="O24" s="13"/>
      <c r="P24" s="13"/>
      <c r="Q24" s="3">
        <f ca="1">+IF(AND(Q22=1,D22=1),MOD(1+D24,2),D24)</f>
        <v>1</v>
      </c>
      <c r="R24" s="13"/>
      <c r="S24" s="13"/>
      <c r="T24" s="13"/>
      <c r="U24" s="13"/>
      <c r="V24" s="13"/>
      <c r="W24" s="13"/>
      <c r="X24" s="13"/>
      <c r="AE24" t="b">
        <f ca="1">+IF(AND(D22=1,Q22=1),NOT(D24=Q24),D24=Q24)</f>
        <v>1</v>
      </c>
    </row>
    <row r="25" spans="1:32" s="13" customFormat="1" x14ac:dyDescent="0.3">
      <c r="E25" s="13" t="s">
        <v>20</v>
      </c>
    </row>
    <row r="26" spans="1:32" x14ac:dyDescent="0.3">
      <c r="A26" s="13"/>
      <c r="B26" s="13" t="s">
        <v>3</v>
      </c>
      <c r="C26" s="13"/>
      <c r="D26" s="1">
        <f ca="1">+MOD(1+D24+D20,2)</f>
        <v>1</v>
      </c>
      <c r="E26" s="13"/>
      <c r="F26" s="13"/>
      <c r="G26" s="13"/>
      <c r="H26" s="13"/>
      <c r="I26" s="13"/>
      <c r="J26" s="13"/>
      <c r="K26" s="13"/>
      <c r="M26" s="13" t="s">
        <v>3</v>
      </c>
      <c r="N26" s="13"/>
      <c r="O26" s="1">
        <f ca="1">+MOD(O20+SUMPRODUCT(Q24:T24,Q26:T26),2)</f>
        <v>1</v>
      </c>
      <c r="P26" s="13"/>
      <c r="Q26" s="1">
        <f ca="1">+MOD(Q20+R20,2)</f>
        <v>1</v>
      </c>
      <c r="R26" s="13" t="s">
        <v>14</v>
      </c>
      <c r="S26" s="13"/>
      <c r="T26" s="13"/>
      <c r="U26" s="13"/>
      <c r="V26" s="13"/>
      <c r="W26" s="13"/>
      <c r="X26" s="13"/>
    </row>
    <row r="27" spans="1:32" s="13" customFormat="1" ht="15" thickBot="1" x14ac:dyDescent="0.35"/>
    <row r="28" spans="1:32" ht="15" thickBot="1" x14ac:dyDescent="0.35">
      <c r="A28" s="13"/>
      <c r="B28" s="13" t="s">
        <v>4</v>
      </c>
      <c r="C28" s="13"/>
      <c r="D28" s="2">
        <f ca="1">+D26</f>
        <v>1</v>
      </c>
      <c r="E28" s="13"/>
      <c r="F28" s="13"/>
      <c r="G28" s="13"/>
      <c r="H28" s="13"/>
      <c r="I28" s="13"/>
      <c r="J28" s="13"/>
      <c r="K28" s="13"/>
      <c r="M28" s="13" t="s">
        <v>16</v>
      </c>
      <c r="N28" s="13"/>
      <c r="O28" s="4">
        <f ca="1">+O26</f>
        <v>1</v>
      </c>
      <c r="P28" s="13"/>
      <c r="Q28" s="13"/>
      <c r="R28" s="13"/>
      <c r="S28" s="13"/>
      <c r="T28" s="13"/>
      <c r="U28" s="13"/>
      <c r="V28" s="13"/>
      <c r="W28" s="13"/>
      <c r="X28" s="13"/>
      <c r="AE28">
        <f ca="1">+SUM(O8+SUMPRODUCT(Q12:T12,Q14:T14)+SUMPRODUCT(Q18:R18,Q20:R20)+Q24)</f>
        <v>3</v>
      </c>
      <c r="AF28" t="b">
        <f ca="1">+MOD(AE28+O28,2)=0</f>
        <v>1</v>
      </c>
    </row>
    <row r="29" spans="1:32" s="13" customFormat="1" ht="15" thickBot="1" x14ac:dyDescent="0.35"/>
    <row r="30" spans="1:32" ht="15" thickBot="1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M30" s="10" t="s">
        <v>17</v>
      </c>
      <c r="N30" s="11"/>
      <c r="O30" s="12" t="b">
        <f ca="1">+O26=SUMPRODUCT(Q8:X8,D8:K8)</f>
        <v>0</v>
      </c>
      <c r="P30" s="13"/>
      <c r="Q30" s="13"/>
      <c r="R30" s="13"/>
      <c r="S30" s="13"/>
      <c r="T30" s="13"/>
      <c r="U30" s="13"/>
      <c r="V30" s="13"/>
      <c r="W30" s="13"/>
      <c r="X30" s="13"/>
    </row>
    <row r="31" spans="1:32" s="13" customFormat="1" x14ac:dyDescent="0.3"/>
    <row r="32" spans="1:32" s="13" customFormat="1" x14ac:dyDescent="0.3"/>
    <row r="33" s="13" customFormat="1" x14ac:dyDescent="0.3"/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7F4F-1578-4325-B004-87F10D112CEC}">
  <sheetPr codeName="Sheet5"/>
  <dimension ref="A1:AJ42"/>
  <sheetViews>
    <sheetView zoomScale="55" zoomScaleNormal="55" workbookViewId="0">
      <selection sqref="A1:AG41"/>
    </sheetView>
  </sheetViews>
  <sheetFormatPr defaultColWidth="8.88671875" defaultRowHeight="14.4" x14ac:dyDescent="0.3"/>
  <sheetData>
    <row r="1" spans="1:36" s="13" customFormat="1" ht="15" thickBot="1" x14ac:dyDescent="0.35"/>
    <row r="2" spans="1:36" ht="15" thickBot="1" x14ac:dyDescent="0.35">
      <c r="A2" s="13"/>
      <c r="B2" s="13" t="s">
        <v>8</v>
      </c>
      <c r="C2" s="13"/>
      <c r="D2" s="5">
        <f ca="1">+ROUND(RAND(),0)</f>
        <v>1</v>
      </c>
      <c r="E2" s="6">
        <f t="shared" ref="E2:S2" ca="1" si="0">+ROUND(RAND(),0)</f>
        <v>0</v>
      </c>
      <c r="F2" s="6">
        <f t="shared" ca="1" si="0"/>
        <v>1</v>
      </c>
      <c r="G2" s="6">
        <f t="shared" ca="1" si="0"/>
        <v>1</v>
      </c>
      <c r="H2" s="6">
        <f t="shared" ca="1" si="0"/>
        <v>1</v>
      </c>
      <c r="I2" s="6">
        <f t="shared" ca="1" si="0"/>
        <v>1</v>
      </c>
      <c r="J2" s="6">
        <f t="shared" ca="1" si="0"/>
        <v>1</v>
      </c>
      <c r="K2" s="6">
        <f t="shared" ca="1" si="0"/>
        <v>1</v>
      </c>
      <c r="L2" s="6">
        <f t="shared" ca="1" si="0"/>
        <v>1</v>
      </c>
      <c r="M2" s="6">
        <f t="shared" ca="1" si="0"/>
        <v>1</v>
      </c>
      <c r="N2" s="6">
        <f t="shared" ca="1" si="0"/>
        <v>1</v>
      </c>
      <c r="O2" s="6">
        <f t="shared" ca="1" si="0"/>
        <v>0</v>
      </c>
      <c r="P2" s="6">
        <f t="shared" ca="1" si="0"/>
        <v>0</v>
      </c>
      <c r="Q2" s="6">
        <f t="shared" ca="1" si="0"/>
        <v>1</v>
      </c>
      <c r="R2" s="6">
        <f t="shared" ca="1" si="0"/>
        <v>1</v>
      </c>
      <c r="S2" s="7">
        <f t="shared" ca="1" si="0"/>
        <v>1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ht="15" thickBot="1" x14ac:dyDescent="0.35">
      <c r="A3" s="13"/>
      <c r="B3" s="13" t="s">
        <v>9</v>
      </c>
      <c r="C3" s="13"/>
      <c r="D3" s="15">
        <f ca="1">+RANDBETWEEN(0,15)</f>
        <v>15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 ht="15" thickBot="1" x14ac:dyDescent="0.35">
      <c r="A4" s="13"/>
      <c r="B4" s="13" t="s">
        <v>15</v>
      </c>
      <c r="C4" s="13"/>
      <c r="D4" s="4">
        <f ca="1">+OFFSET(D2,0,D3)</f>
        <v>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spans="1:36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spans="1:36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spans="1:36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spans="1:36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4" t="s">
        <v>10</v>
      </c>
      <c r="N9" s="13"/>
      <c r="O9" s="13"/>
      <c r="P9" s="13"/>
      <c r="Q9" s="14">
        <v>0</v>
      </c>
      <c r="R9" s="14">
        <v>1</v>
      </c>
      <c r="S9" s="14">
        <v>2</v>
      </c>
      <c r="T9" s="14">
        <v>3</v>
      </c>
      <c r="U9" s="14">
        <v>4</v>
      </c>
      <c r="V9" s="14">
        <v>5</v>
      </c>
      <c r="W9" s="14">
        <v>6</v>
      </c>
      <c r="X9" s="14">
        <v>7</v>
      </c>
      <c r="Y9" s="14">
        <v>8</v>
      </c>
      <c r="Z9" s="14">
        <v>9</v>
      </c>
      <c r="AA9" s="14">
        <v>10</v>
      </c>
      <c r="AB9" s="14">
        <v>11</v>
      </c>
      <c r="AC9" s="14">
        <v>12</v>
      </c>
      <c r="AD9" s="14">
        <v>13</v>
      </c>
      <c r="AE9" s="14">
        <v>14</v>
      </c>
      <c r="AF9" s="14">
        <v>15</v>
      </c>
      <c r="AG9" s="14"/>
      <c r="AH9" s="14"/>
      <c r="AI9" s="14"/>
      <c r="AJ9" s="14"/>
    </row>
    <row r="10" spans="1:36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 t="s">
        <v>7</v>
      </c>
      <c r="N10" s="13"/>
      <c r="O10" s="9">
        <f ca="1">+D38</f>
        <v>1</v>
      </c>
      <c r="P10" s="13"/>
      <c r="Q10" s="1">
        <f ca="1">+IF(Q9=$D$3,1,0)</f>
        <v>0</v>
      </c>
      <c r="R10" s="1">
        <f t="shared" ref="R10:AF10" ca="1" si="1">+IF(R9=$D$3,1,0)</f>
        <v>0</v>
      </c>
      <c r="S10" s="1">
        <f t="shared" ca="1" si="1"/>
        <v>0</v>
      </c>
      <c r="T10" s="1">
        <f t="shared" ca="1" si="1"/>
        <v>0</v>
      </c>
      <c r="U10" s="1">
        <f t="shared" ca="1" si="1"/>
        <v>0</v>
      </c>
      <c r="V10" s="1">
        <f t="shared" ca="1" si="1"/>
        <v>0</v>
      </c>
      <c r="W10" s="1">
        <f t="shared" ca="1" si="1"/>
        <v>0</v>
      </c>
      <c r="X10" s="1">
        <f t="shared" ca="1" si="1"/>
        <v>0</v>
      </c>
      <c r="Y10" s="1">
        <f t="shared" ca="1" si="1"/>
        <v>0</v>
      </c>
      <c r="Z10" s="1">
        <f t="shared" ca="1" si="1"/>
        <v>0</v>
      </c>
      <c r="AA10" s="1">
        <f t="shared" ca="1" si="1"/>
        <v>0</v>
      </c>
      <c r="AB10" s="1">
        <f t="shared" ca="1" si="1"/>
        <v>0</v>
      </c>
      <c r="AC10" s="1">
        <f t="shared" ca="1" si="1"/>
        <v>0</v>
      </c>
      <c r="AD10" s="1">
        <f t="shared" ca="1" si="1"/>
        <v>0</v>
      </c>
      <c r="AE10" s="1">
        <f t="shared" ca="1" si="1"/>
        <v>0</v>
      </c>
      <c r="AF10" s="1">
        <f t="shared" ca="1" si="1"/>
        <v>1</v>
      </c>
      <c r="AG10" s="13"/>
      <c r="AH10" s="13"/>
      <c r="AI10" s="13"/>
      <c r="AJ10" s="13"/>
    </row>
    <row r="11" spans="1:36" x14ac:dyDescent="0.3">
      <c r="A11" s="13"/>
      <c r="B11" s="13"/>
      <c r="C11" s="13"/>
      <c r="D11" s="14">
        <v>0</v>
      </c>
      <c r="E11" s="14">
        <v>1</v>
      </c>
      <c r="F11" s="14">
        <v>2</v>
      </c>
      <c r="G11" s="14">
        <v>3</v>
      </c>
      <c r="H11" s="14">
        <v>4</v>
      </c>
      <c r="I11" s="14">
        <v>5</v>
      </c>
      <c r="J11" s="14">
        <v>6</v>
      </c>
      <c r="K11" s="14">
        <v>7</v>
      </c>
      <c r="L11" s="14">
        <v>8</v>
      </c>
      <c r="M11" s="14">
        <v>9</v>
      </c>
      <c r="N11" s="14">
        <v>10</v>
      </c>
      <c r="O11" s="14">
        <v>11</v>
      </c>
      <c r="P11" s="14">
        <v>12</v>
      </c>
      <c r="Q11" s="14">
        <v>13</v>
      </c>
      <c r="R11" s="14">
        <v>14</v>
      </c>
      <c r="S11" s="14">
        <v>15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6" x14ac:dyDescent="0.3">
      <c r="A12" s="13"/>
      <c r="B12" s="13" t="s">
        <v>0</v>
      </c>
      <c r="C12" s="13"/>
      <c r="D12" s="1">
        <f ca="1">+D2</f>
        <v>1</v>
      </c>
      <c r="E12" s="1">
        <f t="shared" ref="E12:S12" ca="1" si="2">+E2</f>
        <v>0</v>
      </c>
      <c r="F12" s="1">
        <f t="shared" ca="1" si="2"/>
        <v>1</v>
      </c>
      <c r="G12" s="1">
        <f t="shared" ca="1" si="2"/>
        <v>1</v>
      </c>
      <c r="H12" s="1">
        <f t="shared" ca="1" si="2"/>
        <v>1</v>
      </c>
      <c r="I12" s="1">
        <f t="shared" ca="1" si="2"/>
        <v>1</v>
      </c>
      <c r="J12" s="1">
        <f t="shared" ca="1" si="2"/>
        <v>1</v>
      </c>
      <c r="K12" s="1">
        <f t="shared" ca="1" si="2"/>
        <v>1</v>
      </c>
      <c r="L12" s="1">
        <f t="shared" ca="1" si="2"/>
        <v>1</v>
      </c>
      <c r="M12" s="1">
        <f t="shared" ca="1" si="2"/>
        <v>1</v>
      </c>
      <c r="N12" s="1">
        <f t="shared" ca="1" si="2"/>
        <v>1</v>
      </c>
      <c r="O12" s="1">
        <f t="shared" ca="1" si="2"/>
        <v>0</v>
      </c>
      <c r="P12" s="1">
        <f t="shared" ca="1" si="2"/>
        <v>0</v>
      </c>
      <c r="Q12" s="1">
        <f t="shared" ca="1" si="2"/>
        <v>1</v>
      </c>
      <c r="R12" s="1">
        <f t="shared" ca="1" si="2"/>
        <v>1</v>
      </c>
      <c r="S12" s="1">
        <f t="shared" ca="1" si="2"/>
        <v>1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6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 x14ac:dyDescent="0.3">
      <c r="A14" s="13"/>
      <c r="B14" s="13" t="s">
        <v>1</v>
      </c>
      <c r="C14" s="13"/>
      <c r="D14" s="1">
        <f ca="1">+MOD(D12+E12,2)</f>
        <v>1</v>
      </c>
      <c r="E14" s="1">
        <f ca="1">+MOD(F12+G12,2)</f>
        <v>0</v>
      </c>
      <c r="F14" s="1">
        <f ca="1">+MOD(H12+I12,2)</f>
        <v>0</v>
      </c>
      <c r="G14" s="1">
        <f ca="1">+MOD(J12+K12,2)</f>
        <v>0</v>
      </c>
      <c r="H14" s="1">
        <f ca="1">+MOD(L12+M12,2)</f>
        <v>0</v>
      </c>
      <c r="I14" s="1">
        <f ca="1">+MOD(N12+O12,2)</f>
        <v>1</v>
      </c>
      <c r="J14" s="1">
        <f ca="1">+MOD(P12+Q12,2)</f>
        <v>1</v>
      </c>
      <c r="K14" s="1">
        <f ca="1">+MOD(R12+S12,2)</f>
        <v>0</v>
      </c>
      <c r="L14" s="13"/>
      <c r="M14" s="13" t="s">
        <v>1</v>
      </c>
      <c r="N14" s="13"/>
      <c r="O14" s="13"/>
      <c r="P14" s="13"/>
      <c r="Q14" s="1">
        <f ca="1">+IF(AND(NOT(Q10),R10),1,0)</f>
        <v>0</v>
      </c>
      <c r="R14" s="1">
        <f ca="1">+IF(AND(NOT(S10),T10),1,0)</f>
        <v>0</v>
      </c>
      <c r="S14" s="1">
        <f ca="1">+IF(AND(NOT(U10),V10),1,0)</f>
        <v>0</v>
      </c>
      <c r="T14" s="1">
        <f ca="1">+IF(AND(NOT(W10),X10),1,0)</f>
        <v>0</v>
      </c>
      <c r="U14" s="1">
        <f ca="1">+IF(AND(NOT(Y10),Z10),1,0)</f>
        <v>0</v>
      </c>
      <c r="V14" s="1">
        <f ca="1">+IF(AND(NOT(AA10),AB10),1,0)</f>
        <v>0</v>
      </c>
      <c r="W14" s="1">
        <f ca="1">+IF(AND(NOT(AC10),AD10),1,0)</f>
        <v>0</v>
      </c>
      <c r="X14" s="1">
        <f ca="1">+IF(AND(NOT(AE10),AF10),1,0)</f>
        <v>1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36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spans="1:36" x14ac:dyDescent="0.3">
      <c r="A16" s="13"/>
      <c r="B16" s="13" t="s">
        <v>2</v>
      </c>
      <c r="C16" s="13"/>
      <c r="D16" s="3">
        <f t="shared" ref="D16:K16" ca="1" si="3">+ROUND(RAND(),0)</f>
        <v>1</v>
      </c>
      <c r="E16" s="3">
        <f t="shared" ca="1" si="3"/>
        <v>1</v>
      </c>
      <c r="F16" s="3">
        <f t="shared" ca="1" si="3"/>
        <v>0</v>
      </c>
      <c r="G16" s="3">
        <f t="shared" ca="1" si="3"/>
        <v>0</v>
      </c>
      <c r="H16" s="3">
        <f t="shared" ca="1" si="3"/>
        <v>0</v>
      </c>
      <c r="I16" s="3">
        <f t="shared" ca="1" si="3"/>
        <v>0</v>
      </c>
      <c r="J16" s="3">
        <f t="shared" ca="1" si="3"/>
        <v>0</v>
      </c>
      <c r="K16" s="3">
        <f t="shared" ca="1" si="3"/>
        <v>1</v>
      </c>
      <c r="L16" s="13"/>
      <c r="M16" s="13" t="s">
        <v>2</v>
      </c>
      <c r="N16" s="13"/>
      <c r="O16" s="13"/>
      <c r="P16" s="13"/>
      <c r="Q16" s="3">
        <f t="shared" ref="Q16:X16" ca="1" si="4">+IF(AND(Q14=1,D14=1),MOD(1+D16,2),D16)</f>
        <v>1</v>
      </c>
      <c r="R16" s="3">
        <f t="shared" ca="1" si="4"/>
        <v>1</v>
      </c>
      <c r="S16" s="3">
        <f t="shared" ca="1" si="4"/>
        <v>0</v>
      </c>
      <c r="T16" s="3">
        <f t="shared" ca="1" si="4"/>
        <v>0</v>
      </c>
      <c r="U16" s="3">
        <f t="shared" ca="1" si="4"/>
        <v>0</v>
      </c>
      <c r="V16" s="3">
        <f t="shared" ca="1" si="4"/>
        <v>0</v>
      </c>
      <c r="W16" s="3">
        <f t="shared" ca="1" si="4"/>
        <v>0</v>
      </c>
      <c r="X16" s="3">
        <f t="shared" ca="1" si="4"/>
        <v>1</v>
      </c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 spans="1:36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spans="1:36" x14ac:dyDescent="0.3">
      <c r="A18" s="13"/>
      <c r="B18" s="13" t="s">
        <v>3</v>
      </c>
      <c r="C18" s="13"/>
      <c r="D18" s="1">
        <f ca="1">+MOD(D16+D12,2)</f>
        <v>0</v>
      </c>
      <c r="E18" s="1">
        <f ca="1">+MOD(E16+F12,2)</f>
        <v>0</v>
      </c>
      <c r="F18" s="1">
        <f ca="1">+MOD(F16+H12,2)</f>
        <v>1</v>
      </c>
      <c r="G18" s="1">
        <f ca="1">+MOD(G16+J12,2)</f>
        <v>1</v>
      </c>
      <c r="H18" s="1">
        <f ca="1">+MOD(H16+L12,2)</f>
        <v>1</v>
      </c>
      <c r="I18" s="1">
        <f ca="1">+MOD(I16+N12,2)</f>
        <v>1</v>
      </c>
      <c r="J18" s="1">
        <f ca="1">+MOD(J16+P12,2)</f>
        <v>0</v>
      </c>
      <c r="K18" s="1">
        <f ca="1">+MOD(K16+R12,2)</f>
        <v>0</v>
      </c>
      <c r="L18" s="13"/>
      <c r="M18" s="13" t="s">
        <v>3</v>
      </c>
      <c r="N18" s="13"/>
      <c r="O18" s="1">
        <f ca="1">+MOD(O10+SUMPRODUCT(Q16:X16,Q18:X18),2)</f>
        <v>0</v>
      </c>
      <c r="P18" s="13"/>
      <c r="Q18" s="1">
        <f ca="1">+MOD(Q10+R10,2)</f>
        <v>0</v>
      </c>
      <c r="R18" s="1">
        <f ca="1">+MOD(S10+T10,2)</f>
        <v>0</v>
      </c>
      <c r="S18" s="1">
        <f ca="1">+MOD(U10+V10,2)</f>
        <v>0</v>
      </c>
      <c r="T18" s="1">
        <f ca="1">+MOD(W10+X10,2)</f>
        <v>0</v>
      </c>
      <c r="U18" s="1">
        <f ca="1">+MOD(Y10+Z10,2)</f>
        <v>0</v>
      </c>
      <c r="V18" s="1">
        <f ca="1">+MOD(AA10+AB10,2)</f>
        <v>0</v>
      </c>
      <c r="W18" s="1">
        <f ca="1">+MOD(AC10+AD10,2)</f>
        <v>0</v>
      </c>
      <c r="X18" s="1">
        <f ca="1">+MOD(AE10+AF10,2)</f>
        <v>1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spans="1:36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x14ac:dyDescent="0.3">
      <c r="A20" s="13"/>
      <c r="B20" s="13" t="s">
        <v>1</v>
      </c>
      <c r="C20" s="13"/>
      <c r="D20" s="1">
        <f ca="1">+MOD(D18+E18,2)</f>
        <v>0</v>
      </c>
      <c r="E20" s="1">
        <f ca="1">+MOD(F18+G18,2)</f>
        <v>0</v>
      </c>
      <c r="F20" s="1">
        <f ca="1">+MOD(H18+I18,2)</f>
        <v>0</v>
      </c>
      <c r="G20" s="1">
        <f ca="1">+MOD(J18+K18,2)</f>
        <v>0</v>
      </c>
      <c r="H20" s="13" t="s">
        <v>11</v>
      </c>
      <c r="I20" s="13"/>
      <c r="J20" s="13"/>
      <c r="K20" s="13"/>
      <c r="L20" s="13"/>
      <c r="M20" s="13" t="s">
        <v>1</v>
      </c>
      <c r="N20" s="13"/>
      <c r="O20" s="13"/>
      <c r="P20" s="13"/>
      <c r="Q20" s="1">
        <f ca="1">+IF(AND(NOT(Q18),R18),1,0)</f>
        <v>0</v>
      </c>
      <c r="R20" s="1">
        <f ca="1">+IF(AND(NOT(S18),T18),1,0)</f>
        <v>0</v>
      </c>
      <c r="S20" s="1">
        <f ca="1">+IF(AND(NOT(U18),V18),1,0)</f>
        <v>0</v>
      </c>
      <c r="T20" s="1">
        <f ca="1">+IF(AND(NOT(W18),X18),1,0)</f>
        <v>1</v>
      </c>
      <c r="U20" s="13" t="s">
        <v>13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6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spans="1:36" x14ac:dyDescent="0.3">
      <c r="A22" s="13"/>
      <c r="B22" s="13" t="s">
        <v>2</v>
      </c>
      <c r="C22" s="13"/>
      <c r="D22" s="3">
        <f ca="1">+ROUND(RAND(),0)</f>
        <v>1</v>
      </c>
      <c r="E22" s="3">
        <f t="shared" ref="E22:G22" ca="1" si="5">+ROUND(RAND(),0)</f>
        <v>1</v>
      </c>
      <c r="F22" s="3">
        <f t="shared" ca="1" si="5"/>
        <v>0</v>
      </c>
      <c r="G22" s="3">
        <f t="shared" ca="1" si="5"/>
        <v>1</v>
      </c>
      <c r="H22" s="13"/>
      <c r="I22" s="13"/>
      <c r="J22" s="13"/>
      <c r="K22" s="13"/>
      <c r="L22" s="13"/>
      <c r="M22" s="13" t="s">
        <v>2</v>
      </c>
      <c r="N22" s="13"/>
      <c r="O22" s="13"/>
      <c r="P22" s="13"/>
      <c r="Q22" s="3">
        <f ca="1">+IF(AND(Q20=1,D20=1),MOD(1+D22,2),D22)</f>
        <v>1</v>
      </c>
      <c r="R22" s="3">
        <f ca="1">+IF(AND(R20=1,E20=1),MOD(1+E22,2),E22)</f>
        <v>1</v>
      </c>
      <c r="S22" s="3">
        <f ca="1">+IF(AND(S20=1,F20=1),MOD(1+F22,2),F22)</f>
        <v>0</v>
      </c>
      <c r="T22" s="3">
        <f ca="1">+IF(AND(T20=1,G20=1),MOD(1+G22,2),G22)</f>
        <v>1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6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spans="1:36" x14ac:dyDescent="0.3">
      <c r="A24" s="13"/>
      <c r="B24" s="13" t="s">
        <v>3</v>
      </c>
      <c r="C24" s="13"/>
      <c r="D24" s="1">
        <f ca="1">+MOD(D22+D18,2)</f>
        <v>1</v>
      </c>
      <c r="E24" s="1">
        <f ca="1">+MOD(E22+F18,2)</f>
        <v>0</v>
      </c>
      <c r="F24" s="1">
        <f ca="1">+MOD(F22+H18,2)</f>
        <v>1</v>
      </c>
      <c r="G24" s="1">
        <f ca="1">+MOD(G22+J18,2)</f>
        <v>1</v>
      </c>
      <c r="H24" s="13" t="s">
        <v>12</v>
      </c>
      <c r="I24" s="13"/>
      <c r="J24" s="13"/>
      <c r="K24" s="13"/>
      <c r="L24" s="13"/>
      <c r="M24" s="13" t="s">
        <v>3</v>
      </c>
      <c r="N24" s="13"/>
      <c r="O24" s="1">
        <f ca="1">+MOD(O18+SUMPRODUCT(Q22:T22,Q24:T24),2)</f>
        <v>1</v>
      </c>
      <c r="P24" s="13"/>
      <c r="Q24" s="1">
        <f ca="1">+MOD(Q18+R18,2)</f>
        <v>0</v>
      </c>
      <c r="R24" s="1">
        <f ca="1">+MOD(S18+T18,2)</f>
        <v>0</v>
      </c>
      <c r="S24" s="1">
        <f ca="1">+MOD(U18+V18,2)</f>
        <v>0</v>
      </c>
      <c r="T24" s="1">
        <f ca="1">+MOD(W18+X18,2)</f>
        <v>1</v>
      </c>
      <c r="U24" s="13" t="s">
        <v>14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x14ac:dyDescent="0.3">
      <c r="A26" s="13"/>
      <c r="B26" s="13" t="s">
        <v>1</v>
      </c>
      <c r="C26" s="13"/>
      <c r="D26" s="1">
        <f ca="1">+MOD(D24+E24,2)</f>
        <v>1</v>
      </c>
      <c r="E26" s="1">
        <f ca="1">+MOD(F24+G24,2)</f>
        <v>0</v>
      </c>
      <c r="F26" s="13" t="s">
        <v>11</v>
      </c>
      <c r="G26" s="13"/>
      <c r="H26" s="13"/>
      <c r="I26" s="13"/>
      <c r="J26" s="13"/>
      <c r="K26" s="13"/>
      <c r="L26" s="13"/>
      <c r="M26" s="13" t="s">
        <v>1</v>
      </c>
      <c r="N26" s="13"/>
      <c r="O26" s="13"/>
      <c r="P26" s="13"/>
      <c r="Q26" s="1">
        <f ca="1">+IF(AND(NOT(Q24),R24),1,0)</f>
        <v>0</v>
      </c>
      <c r="R26" s="1">
        <f ca="1">+IF(AND(NOT(S24),T24),1,0)</f>
        <v>1</v>
      </c>
      <c r="S26" s="13" t="s">
        <v>13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x14ac:dyDescent="0.3">
      <c r="A28" s="13"/>
      <c r="B28" s="13" t="s">
        <v>2</v>
      </c>
      <c r="C28" s="13"/>
      <c r="D28" s="3">
        <f ca="1">+ROUND(RAND(),0)</f>
        <v>0</v>
      </c>
      <c r="E28" s="3">
        <f t="shared" ref="E28" ca="1" si="6">+ROUND(RAND(),0)</f>
        <v>0</v>
      </c>
      <c r="F28" s="13"/>
      <c r="G28" s="13"/>
      <c r="H28" s="13"/>
      <c r="I28" s="13"/>
      <c r="J28" s="13"/>
      <c r="K28" s="13"/>
      <c r="L28" s="13"/>
      <c r="M28" s="13" t="s">
        <v>2</v>
      </c>
      <c r="N28" s="13"/>
      <c r="O28" s="13"/>
      <c r="P28" s="13"/>
      <c r="Q28" s="3">
        <f ca="1">+IF(AND(Q26=1,D26=1),MOD(1+D28,2),D28)</f>
        <v>0</v>
      </c>
      <c r="R28" s="3">
        <f ca="1">+IF(AND(R26=1,E26=1),MOD(1+E28,2),E28)</f>
        <v>0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x14ac:dyDescent="0.3">
      <c r="A30" s="13"/>
      <c r="B30" s="13" t="s">
        <v>3</v>
      </c>
      <c r="C30" s="13"/>
      <c r="D30" s="1">
        <f ca="1">+MOD(D28+D24,2)</f>
        <v>1</v>
      </c>
      <c r="E30" s="1">
        <f ca="1">+MOD(E28+F24,2)</f>
        <v>1</v>
      </c>
      <c r="F30" s="13" t="s">
        <v>12</v>
      </c>
      <c r="G30" s="13"/>
      <c r="H30" s="13"/>
      <c r="I30" s="13"/>
      <c r="J30" s="13"/>
      <c r="K30" s="13"/>
      <c r="L30" s="13"/>
      <c r="M30" s="13" t="s">
        <v>3</v>
      </c>
      <c r="N30" s="13"/>
      <c r="O30" s="1">
        <f ca="1">+MOD(O24+SUMPRODUCT(Q28:T28,Q30:T30),2)</f>
        <v>1</v>
      </c>
      <c r="P30" s="13"/>
      <c r="Q30" s="1">
        <f ca="1">+MOD(Q24+R24,2)</f>
        <v>0</v>
      </c>
      <c r="R30" s="1">
        <f ca="1">+MOD(S24+T24,2)</f>
        <v>1</v>
      </c>
      <c r="S30" s="13" t="s">
        <v>14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6" x14ac:dyDescent="0.3">
      <c r="A32" s="13"/>
      <c r="B32" s="13" t="s">
        <v>1</v>
      </c>
      <c r="C32" s="13"/>
      <c r="D32" s="1">
        <f ca="1">+MOD(D30+E30,2)</f>
        <v>0</v>
      </c>
      <c r="E32" s="13" t="s">
        <v>11</v>
      </c>
      <c r="F32" s="13"/>
      <c r="G32" s="13"/>
      <c r="H32" s="13"/>
      <c r="I32" s="13"/>
      <c r="J32" s="13"/>
      <c r="K32" s="13"/>
      <c r="L32" s="13"/>
      <c r="M32" s="13" t="s">
        <v>1</v>
      </c>
      <c r="N32" s="13"/>
      <c r="O32" s="13"/>
      <c r="P32" s="13"/>
      <c r="Q32" s="1">
        <f ca="1">+IF(AND(NOT(Q30),R30),1,0)</f>
        <v>1</v>
      </c>
      <c r="R32" s="13" t="s">
        <v>13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36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x14ac:dyDescent="0.3">
      <c r="A34" s="13"/>
      <c r="B34" s="13" t="s">
        <v>2</v>
      </c>
      <c r="C34" s="13"/>
      <c r="D34" s="3">
        <f ca="1">+ROUND(RAND(),0)</f>
        <v>0</v>
      </c>
      <c r="E34" s="13"/>
      <c r="F34" s="13"/>
      <c r="G34" s="13"/>
      <c r="H34" s="13"/>
      <c r="I34" s="13"/>
      <c r="J34" s="13"/>
      <c r="K34" s="13"/>
      <c r="L34" s="13"/>
      <c r="M34" s="13" t="s">
        <v>2</v>
      </c>
      <c r="N34" s="13"/>
      <c r="O34" s="13"/>
      <c r="P34" s="13"/>
      <c r="Q34" s="3">
        <f ca="1">+IF(AND(Q32=1,D32=1),MOD(1+D34,2),D34)</f>
        <v>0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x14ac:dyDescent="0.3">
      <c r="A36" s="13"/>
      <c r="B36" s="13" t="s">
        <v>3</v>
      </c>
      <c r="C36" s="13"/>
      <c r="D36" s="1">
        <f ca="1">+MOD(D34+D30,2)</f>
        <v>1</v>
      </c>
      <c r="E36" s="13" t="s">
        <v>12</v>
      </c>
      <c r="F36" s="13"/>
      <c r="G36" s="13"/>
      <c r="H36" s="13"/>
      <c r="I36" s="13"/>
      <c r="J36" s="13"/>
      <c r="K36" s="13"/>
      <c r="L36" s="13"/>
      <c r="M36" s="13" t="s">
        <v>3</v>
      </c>
      <c r="N36" s="13"/>
      <c r="O36" s="1">
        <f ca="1">+MOD(O30+SUMPRODUCT(Q34:T34,Q36:T36),2)</f>
        <v>1</v>
      </c>
      <c r="P36" s="13"/>
      <c r="Q36" s="1">
        <f ca="1">+MOD(Q30+R30,2)</f>
        <v>1</v>
      </c>
      <c r="R36" s="13" t="s">
        <v>14</v>
      </c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ht="15" thickBot="1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ht="15" thickBot="1" x14ac:dyDescent="0.35">
      <c r="A38" s="13"/>
      <c r="B38" s="13" t="s">
        <v>4</v>
      </c>
      <c r="C38" s="13"/>
      <c r="D38" s="2">
        <f ca="1">+D36</f>
        <v>1</v>
      </c>
      <c r="E38" s="13"/>
      <c r="F38" s="13"/>
      <c r="G38" s="13"/>
      <c r="H38" s="13"/>
      <c r="I38" s="13"/>
      <c r="J38" s="13"/>
      <c r="K38" s="13"/>
      <c r="L38" s="13"/>
      <c r="M38" s="13" t="s">
        <v>16</v>
      </c>
      <c r="N38" s="13"/>
      <c r="O38" s="4">
        <f ca="1">+O36</f>
        <v>1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ht="15" thickBot="1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ht="15" thickBot="1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0" t="s">
        <v>17</v>
      </c>
      <c r="N40" s="11"/>
      <c r="O40" s="12" t="b">
        <f ca="1">+O36=SUMPRODUCT(Q10:AF10,D12:S12)</f>
        <v>1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Q41"/>
  <sheetViews>
    <sheetView zoomScale="55" zoomScaleNormal="55" workbookViewId="0">
      <selection activeCell="U39" sqref="U39"/>
    </sheetView>
  </sheetViews>
  <sheetFormatPr defaultColWidth="8.88671875" defaultRowHeight="14.4" x14ac:dyDescent="0.3"/>
  <sheetData>
    <row r="1" spans="1:43" ht="15" thickBot="1" x14ac:dyDescent="0.35">
      <c r="B1" s="13" t="s">
        <v>8</v>
      </c>
      <c r="C1" s="13"/>
      <c r="D1" s="5">
        <f ca="1">+ROUND(RAND(),0)</f>
        <v>0</v>
      </c>
      <c r="E1" s="6">
        <f t="shared" ref="E1:S1" ca="1" si="0">+ROUND(RAND(),0)</f>
        <v>0</v>
      </c>
      <c r="F1" s="6">
        <f t="shared" ca="1" si="0"/>
        <v>0</v>
      </c>
      <c r="G1" s="6">
        <f t="shared" ca="1" si="0"/>
        <v>1</v>
      </c>
      <c r="H1" s="6">
        <f t="shared" ca="1" si="0"/>
        <v>1</v>
      </c>
      <c r="I1" s="6">
        <f t="shared" ca="1" si="0"/>
        <v>0</v>
      </c>
      <c r="J1" s="6">
        <f t="shared" ca="1" si="0"/>
        <v>0</v>
      </c>
      <c r="K1" s="6">
        <f t="shared" ca="1" si="0"/>
        <v>0</v>
      </c>
      <c r="L1" s="6">
        <f t="shared" ca="1" si="0"/>
        <v>1</v>
      </c>
      <c r="M1" s="6">
        <f t="shared" ca="1" si="0"/>
        <v>0</v>
      </c>
      <c r="N1" s="6">
        <f t="shared" ca="1" si="0"/>
        <v>0</v>
      </c>
      <c r="O1" s="6">
        <f t="shared" ca="1" si="0"/>
        <v>0</v>
      </c>
      <c r="P1" s="6">
        <f t="shared" ca="1" si="0"/>
        <v>1</v>
      </c>
      <c r="Q1" s="6">
        <f t="shared" ca="1" si="0"/>
        <v>1</v>
      </c>
      <c r="R1" s="6">
        <f t="shared" ca="1" si="0"/>
        <v>0</v>
      </c>
      <c r="S1" s="7">
        <f t="shared" ca="1" si="0"/>
        <v>1</v>
      </c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43" ht="15" thickBot="1" x14ac:dyDescent="0.35">
      <c r="B2" s="13" t="s">
        <v>9</v>
      </c>
      <c r="C2" s="13"/>
      <c r="D2" s="15">
        <f ca="1">+RANDBETWEEN(0,15)</f>
        <v>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43" ht="15" thickBot="1" x14ac:dyDescent="0.35">
      <c r="B3" s="13" t="s">
        <v>15</v>
      </c>
      <c r="C3" s="13"/>
      <c r="D3" s="4">
        <f ca="1">+OFFSET(D1,0,D2)</f>
        <v>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43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spans="1:43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spans="1:43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43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spans="1:43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 t="s">
        <v>10</v>
      </c>
      <c r="N8" s="13"/>
      <c r="O8" s="13"/>
      <c r="P8" s="13"/>
      <c r="Q8" s="14">
        <v>0</v>
      </c>
      <c r="R8" s="14">
        <v>1</v>
      </c>
      <c r="S8" s="14">
        <v>2</v>
      </c>
      <c r="T8" s="14">
        <v>3</v>
      </c>
      <c r="U8" s="14">
        <v>4</v>
      </c>
      <c r="V8" s="14">
        <v>5</v>
      </c>
      <c r="W8" s="14">
        <v>6</v>
      </c>
      <c r="X8" s="14">
        <v>7</v>
      </c>
      <c r="Y8" s="14">
        <v>8</v>
      </c>
      <c r="Z8" s="14">
        <v>9</v>
      </c>
      <c r="AA8" s="14">
        <v>10</v>
      </c>
      <c r="AB8" s="14">
        <v>11</v>
      </c>
      <c r="AC8" s="14">
        <v>12</v>
      </c>
      <c r="AD8" s="14">
        <v>13</v>
      </c>
      <c r="AE8" s="14">
        <v>14</v>
      </c>
      <c r="AF8" s="14">
        <v>15</v>
      </c>
      <c r="AG8" s="14"/>
      <c r="AH8" s="14"/>
      <c r="AI8" s="14"/>
      <c r="AJ8" s="14"/>
    </row>
    <row r="9" spans="1:43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 t="s">
        <v>7</v>
      </c>
      <c r="N9" s="13"/>
      <c r="O9" s="9">
        <f ca="1">+D37</f>
        <v>1</v>
      </c>
      <c r="P9" s="13"/>
      <c r="Q9" s="1">
        <f ca="1">+IF(Q8=$D$2,1,0)</f>
        <v>0</v>
      </c>
      <c r="R9" s="1">
        <f t="shared" ref="R9:AF9" ca="1" si="1">+IF(R8=$D$2,1,0)</f>
        <v>1</v>
      </c>
      <c r="S9" s="1">
        <f t="shared" ca="1" si="1"/>
        <v>0</v>
      </c>
      <c r="T9" s="1">
        <f t="shared" ca="1" si="1"/>
        <v>0</v>
      </c>
      <c r="U9" s="1">
        <f t="shared" ca="1" si="1"/>
        <v>0</v>
      </c>
      <c r="V9" s="1">
        <f t="shared" ca="1" si="1"/>
        <v>0</v>
      </c>
      <c r="W9" s="1">
        <f t="shared" ca="1" si="1"/>
        <v>0</v>
      </c>
      <c r="X9" s="1">
        <f t="shared" ca="1" si="1"/>
        <v>0</v>
      </c>
      <c r="Y9" s="1">
        <f t="shared" ca="1" si="1"/>
        <v>0</v>
      </c>
      <c r="Z9" s="1">
        <f t="shared" ca="1" si="1"/>
        <v>0</v>
      </c>
      <c r="AA9" s="1">
        <f t="shared" ca="1" si="1"/>
        <v>0</v>
      </c>
      <c r="AB9" s="1">
        <f t="shared" ca="1" si="1"/>
        <v>0</v>
      </c>
      <c r="AC9" s="1">
        <f t="shared" ca="1" si="1"/>
        <v>0</v>
      </c>
      <c r="AD9" s="1">
        <f t="shared" ca="1" si="1"/>
        <v>0</v>
      </c>
      <c r="AE9" s="1">
        <f t="shared" ca="1" si="1"/>
        <v>0</v>
      </c>
      <c r="AF9" s="1">
        <f t="shared" ca="1" si="1"/>
        <v>0</v>
      </c>
      <c r="AG9" s="13"/>
      <c r="AH9" s="13"/>
      <c r="AI9" s="13"/>
      <c r="AJ9" s="13"/>
    </row>
    <row r="10" spans="1:43" x14ac:dyDescent="0.3">
      <c r="A10" s="13"/>
      <c r="B10" s="13"/>
      <c r="C10" s="13"/>
      <c r="D10" s="14">
        <v>0</v>
      </c>
      <c r="E10" s="14">
        <v>1</v>
      </c>
      <c r="F10" s="14">
        <v>2</v>
      </c>
      <c r="G10" s="14">
        <v>3</v>
      </c>
      <c r="H10" s="14">
        <v>4</v>
      </c>
      <c r="I10" s="14">
        <v>5</v>
      </c>
      <c r="J10" s="14">
        <v>6</v>
      </c>
      <c r="K10" s="14">
        <v>7</v>
      </c>
      <c r="L10" s="14">
        <v>8</v>
      </c>
      <c r="M10" s="14">
        <v>9</v>
      </c>
      <c r="N10" s="14">
        <v>10</v>
      </c>
      <c r="O10" s="14">
        <v>11</v>
      </c>
      <c r="P10" s="14">
        <v>12</v>
      </c>
      <c r="Q10" s="14">
        <v>13</v>
      </c>
      <c r="R10" s="14">
        <v>14</v>
      </c>
      <c r="S10" s="14">
        <v>15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43" x14ac:dyDescent="0.3">
      <c r="A11" s="13"/>
      <c r="B11" s="13" t="s">
        <v>0</v>
      </c>
      <c r="C11" s="13"/>
      <c r="D11" s="1">
        <f ca="1">+D1</f>
        <v>0</v>
      </c>
      <c r="E11" s="1">
        <f t="shared" ref="E11:S11" ca="1" si="2">+E1</f>
        <v>0</v>
      </c>
      <c r="F11" s="1">
        <f t="shared" ca="1" si="2"/>
        <v>0</v>
      </c>
      <c r="G11" s="1">
        <f t="shared" ca="1" si="2"/>
        <v>1</v>
      </c>
      <c r="H11" s="1">
        <f t="shared" ca="1" si="2"/>
        <v>1</v>
      </c>
      <c r="I11" s="1">
        <f t="shared" ca="1" si="2"/>
        <v>0</v>
      </c>
      <c r="J11" s="1">
        <f t="shared" ca="1" si="2"/>
        <v>0</v>
      </c>
      <c r="K11" s="1">
        <f t="shared" ca="1" si="2"/>
        <v>0</v>
      </c>
      <c r="L11" s="1">
        <f t="shared" ca="1" si="2"/>
        <v>1</v>
      </c>
      <c r="M11" s="1">
        <f t="shared" ca="1" si="2"/>
        <v>0</v>
      </c>
      <c r="N11" s="1">
        <f t="shared" ca="1" si="2"/>
        <v>0</v>
      </c>
      <c r="O11" s="1">
        <f t="shared" ca="1" si="2"/>
        <v>0</v>
      </c>
      <c r="P11" s="1">
        <f t="shared" ca="1" si="2"/>
        <v>1</v>
      </c>
      <c r="Q11" s="1">
        <f t="shared" ca="1" si="2"/>
        <v>1</v>
      </c>
      <c r="R11" s="1">
        <f t="shared" ca="1" si="2"/>
        <v>0</v>
      </c>
      <c r="S11" s="1">
        <f t="shared" ca="1" si="2"/>
        <v>1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43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43" x14ac:dyDescent="0.3">
      <c r="A13" s="13"/>
      <c r="B13" s="13" t="s">
        <v>1</v>
      </c>
      <c r="C13" s="13"/>
      <c r="D13" s="1">
        <f ca="1">+MOD(D11+E11,2)</f>
        <v>0</v>
      </c>
      <c r="E13" s="1">
        <f ca="1">+MOD(F11+G11,2)</f>
        <v>1</v>
      </c>
      <c r="F13" s="1">
        <f ca="1">+MOD(H11+I11,2)</f>
        <v>1</v>
      </c>
      <c r="G13" s="1">
        <f ca="1">+MOD(J11+K11,2)</f>
        <v>0</v>
      </c>
      <c r="H13" s="1">
        <f ca="1">+MOD(L11+M11,2)</f>
        <v>1</v>
      </c>
      <c r="I13" s="1">
        <f ca="1">+MOD(N11+O11,2)</f>
        <v>0</v>
      </c>
      <c r="J13" s="1">
        <f ca="1">+MOD(P11+Q11,2)</f>
        <v>0</v>
      </c>
      <c r="K13" s="1">
        <f ca="1">+MOD(R11+S11,2)</f>
        <v>1</v>
      </c>
      <c r="L13" s="13"/>
      <c r="M13" s="13" t="s">
        <v>1</v>
      </c>
      <c r="N13" s="13"/>
      <c r="O13" s="13"/>
      <c r="P13" s="13"/>
      <c r="Q13" s="1">
        <f ca="1">+IF(AND(NOT(Q9),R9),1,0)</f>
        <v>1</v>
      </c>
      <c r="R13" s="1">
        <f ca="1">+IF(AND(NOT(S9),T9),1,0)</f>
        <v>0</v>
      </c>
      <c r="S13" s="1">
        <f ca="1">+IF(AND(NOT(U9),V9),1,0)</f>
        <v>0</v>
      </c>
      <c r="T13" s="1">
        <f ca="1">+IF(AND(NOT(W9),X9),1,0)</f>
        <v>0</v>
      </c>
      <c r="U13" s="1">
        <f ca="1">+IF(AND(NOT(Y9),Z9),1,0)</f>
        <v>0</v>
      </c>
      <c r="V13" s="1">
        <f ca="1">+IF(AND(NOT(AA9),AB9),1,0)</f>
        <v>0</v>
      </c>
      <c r="W13" s="1">
        <f ca="1">+IF(AND(NOT(AC9),AD9),1,0)</f>
        <v>0</v>
      </c>
      <c r="X13" s="1">
        <f ca="1">+IF(AND(NOT(AE9),AF9),1,0)</f>
        <v>0</v>
      </c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43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43" x14ac:dyDescent="0.3">
      <c r="A15" s="13"/>
      <c r="B15" s="13" t="s">
        <v>2</v>
      </c>
      <c r="C15" s="13"/>
      <c r="D15" s="3">
        <f t="shared" ref="D15:K15" ca="1" si="3">+ROUND(RAND(),0)</f>
        <v>1</v>
      </c>
      <c r="E15" s="3">
        <f t="shared" ca="1" si="3"/>
        <v>0</v>
      </c>
      <c r="F15" s="3">
        <f t="shared" ca="1" si="3"/>
        <v>0</v>
      </c>
      <c r="G15" s="3">
        <f t="shared" ca="1" si="3"/>
        <v>1</v>
      </c>
      <c r="H15" s="3">
        <f t="shared" ca="1" si="3"/>
        <v>1</v>
      </c>
      <c r="I15" s="3">
        <f t="shared" ca="1" si="3"/>
        <v>1</v>
      </c>
      <c r="J15" s="3">
        <f t="shared" ca="1" si="3"/>
        <v>0</v>
      </c>
      <c r="K15" s="3">
        <f t="shared" ca="1" si="3"/>
        <v>0</v>
      </c>
      <c r="L15" s="13"/>
      <c r="M15" s="13" t="s">
        <v>2</v>
      </c>
      <c r="N15" s="13"/>
      <c r="O15" s="13"/>
      <c r="P15" s="13"/>
      <c r="Q15" s="3">
        <f t="shared" ref="Q15:X15" ca="1" si="4">+IF(AND(Q13=1,D13=1),MOD(1+D15,2),D15)</f>
        <v>1</v>
      </c>
      <c r="R15" s="3">
        <f t="shared" ca="1" si="4"/>
        <v>0</v>
      </c>
      <c r="S15" s="3">
        <f t="shared" ca="1" si="4"/>
        <v>0</v>
      </c>
      <c r="T15" s="3">
        <f t="shared" ca="1" si="4"/>
        <v>1</v>
      </c>
      <c r="U15" s="3">
        <f t="shared" ca="1" si="4"/>
        <v>1</v>
      </c>
      <c r="V15" s="3">
        <f t="shared" ca="1" si="4"/>
        <v>1</v>
      </c>
      <c r="W15" s="3">
        <f t="shared" ca="1" si="4"/>
        <v>0</v>
      </c>
      <c r="X15" s="3">
        <f t="shared" ca="1" si="4"/>
        <v>0</v>
      </c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t="b">
        <f ca="1">+IF(AND(D13=1,Q13=1),NOT(D15=Q15),D15=Q15)</f>
        <v>1</v>
      </c>
      <c r="AK15" t="b">
        <f t="shared" ref="AK15:AQ15" ca="1" si="5">+IF(AND(E13=1,R13=1),NOT(E15=R15),E15=R15)</f>
        <v>1</v>
      </c>
      <c r="AL15" t="b">
        <f t="shared" ca="1" si="5"/>
        <v>1</v>
      </c>
      <c r="AM15" t="b">
        <f t="shared" ca="1" si="5"/>
        <v>1</v>
      </c>
      <c r="AN15" t="b">
        <f t="shared" ca="1" si="5"/>
        <v>1</v>
      </c>
      <c r="AO15" t="b">
        <f t="shared" ca="1" si="5"/>
        <v>1</v>
      </c>
      <c r="AP15" t="b">
        <f t="shared" ca="1" si="5"/>
        <v>1</v>
      </c>
      <c r="AQ15" t="b">
        <f t="shared" ca="1" si="5"/>
        <v>1</v>
      </c>
    </row>
    <row r="16" spans="1:43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 spans="1:39" x14ac:dyDescent="0.3">
      <c r="A17" s="13"/>
      <c r="B17" s="13" t="s">
        <v>3</v>
      </c>
      <c r="C17" s="13"/>
      <c r="D17" s="1">
        <f ca="1">+MOD(1+D15+D11,2)</f>
        <v>0</v>
      </c>
      <c r="E17" s="1">
        <f ca="1">+MOD(1+E15+F11,2)</f>
        <v>1</v>
      </c>
      <c r="F17" s="1">
        <f ca="1">+MOD(1+F15+H11,2)</f>
        <v>0</v>
      </c>
      <c r="G17" s="1">
        <f ca="1">+MOD(1+G15+J11,2)</f>
        <v>0</v>
      </c>
      <c r="H17" s="1">
        <f ca="1">+MOD(1+H15+L11,2)</f>
        <v>1</v>
      </c>
      <c r="I17" s="1">
        <f ca="1">+MOD(1+I15+N11,2)</f>
        <v>0</v>
      </c>
      <c r="J17" s="1">
        <f ca="1">+MOD(1+J15+P11,2)</f>
        <v>0</v>
      </c>
      <c r="K17" s="1">
        <f ca="1">+MOD(1+K15+R11,2)</f>
        <v>1</v>
      </c>
      <c r="L17" s="13"/>
      <c r="M17" s="13" t="s">
        <v>3</v>
      </c>
      <c r="N17" s="13"/>
      <c r="O17" s="1">
        <f ca="1">+MOD(O9+SUMPRODUCT(Q15:X15,Q17:X17),2)</f>
        <v>0</v>
      </c>
      <c r="P17" s="13"/>
      <c r="Q17" s="1">
        <f ca="1">+MOD(Q9+R9,2)</f>
        <v>1</v>
      </c>
      <c r="R17" s="1">
        <f ca="1">+MOD(S9+T9,2)</f>
        <v>0</v>
      </c>
      <c r="S17" s="1">
        <f ca="1">+MOD(U9+V9,2)</f>
        <v>0</v>
      </c>
      <c r="T17" s="1">
        <f ca="1">+MOD(W9+X9,2)</f>
        <v>0</v>
      </c>
      <c r="U17" s="1">
        <f ca="1">+MOD(Y9+Z9,2)</f>
        <v>0</v>
      </c>
      <c r="V17" s="1">
        <f ca="1">+MOD(AA9+AB9,2)</f>
        <v>0</v>
      </c>
      <c r="W17" s="1">
        <f ca="1">+MOD(AC9+AD9,2)</f>
        <v>0</v>
      </c>
      <c r="X17" s="1">
        <f ca="1">+MOD(AE9+AF9,2)</f>
        <v>0</v>
      </c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spans="1:39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spans="1:39" x14ac:dyDescent="0.3">
      <c r="A19" s="13"/>
      <c r="B19" s="13" t="s">
        <v>1</v>
      </c>
      <c r="C19" s="13"/>
      <c r="D19" s="1">
        <f ca="1">+MOD(D17+E17,2)</f>
        <v>1</v>
      </c>
      <c r="E19" s="1">
        <f ca="1">+MOD(F17+G17,2)</f>
        <v>0</v>
      </c>
      <c r="F19" s="1">
        <f ca="1">+MOD(H17+I17,2)</f>
        <v>1</v>
      </c>
      <c r="G19" s="1">
        <f ca="1">+MOD(J17+K17,2)</f>
        <v>1</v>
      </c>
      <c r="H19" s="13" t="s">
        <v>11</v>
      </c>
      <c r="I19" s="13"/>
      <c r="J19" s="13"/>
      <c r="K19" s="13"/>
      <c r="L19" s="13"/>
      <c r="M19" s="13" t="s">
        <v>1</v>
      </c>
      <c r="N19" s="13"/>
      <c r="O19" s="13"/>
      <c r="P19" s="13"/>
      <c r="Q19" s="1">
        <f ca="1">+IF(AND(NOT(Q17),R17),1,0)</f>
        <v>0</v>
      </c>
      <c r="R19" s="1">
        <f ca="1">+IF(AND(NOT(S17),T17),1,0)</f>
        <v>0</v>
      </c>
      <c r="S19" s="1">
        <f ca="1">+IF(AND(NOT(U17),V17),1,0)</f>
        <v>0</v>
      </c>
      <c r="T19" s="1">
        <f ca="1">+IF(AND(NOT(W17),X17),1,0)</f>
        <v>0</v>
      </c>
      <c r="U19" s="13" t="s">
        <v>13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9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9" x14ac:dyDescent="0.3">
      <c r="A21" s="13"/>
      <c r="B21" s="13" t="s">
        <v>2</v>
      </c>
      <c r="C21" s="13"/>
      <c r="D21" s="3">
        <f ca="1">+ROUND(RAND(),0)</f>
        <v>1</v>
      </c>
      <c r="E21" s="3">
        <f t="shared" ref="E21:G21" ca="1" si="6">+ROUND(RAND(),0)</f>
        <v>1</v>
      </c>
      <c r="F21" s="3">
        <f t="shared" ca="1" si="6"/>
        <v>1</v>
      </c>
      <c r="G21" s="3">
        <f t="shared" ca="1" si="6"/>
        <v>0</v>
      </c>
      <c r="H21" s="13"/>
      <c r="I21" s="13"/>
      <c r="J21" s="13"/>
      <c r="K21" s="13"/>
      <c r="L21" s="13"/>
      <c r="M21" s="13" t="s">
        <v>2</v>
      </c>
      <c r="N21" s="13"/>
      <c r="O21" s="13"/>
      <c r="P21" s="13"/>
      <c r="Q21" s="3">
        <f ca="1">+IF(AND(Q19=1,D19=1),MOD(1+D21,2),D21)</f>
        <v>1</v>
      </c>
      <c r="R21" s="3">
        <f ca="1">+IF(AND(R19=1,E19=1),MOD(1+E21,2),E21)</f>
        <v>1</v>
      </c>
      <c r="S21" s="3">
        <f ca="1">+IF(AND(S19=1,F19=1),MOD(1+F21,2),F21)</f>
        <v>1</v>
      </c>
      <c r="T21" s="3">
        <f ca="1">+IF(AND(T19=1,G19=1),MOD(1+G21,2),G21)</f>
        <v>0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t="b">
        <f ca="1">+IF(AND(D19=1,Q19=1),NOT(D21=Q21),D21=Q21)</f>
        <v>1</v>
      </c>
      <c r="AK21" t="b">
        <f ca="1">+IF(AND(E19=1,R19=1),NOT(E21=R21),E21=R21)</f>
        <v>1</v>
      </c>
      <c r="AL21" t="b">
        <f ca="1">+IF(AND(F19=1,S19=1),NOT(F21=S21),F21=S21)</f>
        <v>1</v>
      </c>
      <c r="AM21" t="b">
        <f ca="1">+IF(AND(G19=1,T19=1),NOT(G21=T21),G21=T21)</f>
        <v>1</v>
      </c>
    </row>
    <row r="22" spans="1:39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9" x14ac:dyDescent="0.3">
      <c r="A23" s="13"/>
      <c r="B23" s="13" t="s">
        <v>3</v>
      </c>
      <c r="C23" s="13"/>
      <c r="D23" s="1">
        <f ca="1">+MOD(1+D21+D17,2)</f>
        <v>0</v>
      </c>
      <c r="E23" s="1">
        <f ca="1">+MOD(1+E21+F17,2)</f>
        <v>0</v>
      </c>
      <c r="F23" s="1">
        <f ca="1">+MOD(1+F21+H17,2)</f>
        <v>1</v>
      </c>
      <c r="G23" s="1">
        <f ca="1">+MOD(1+G21+J17,2)</f>
        <v>1</v>
      </c>
      <c r="H23" s="13" t="s">
        <v>18</v>
      </c>
      <c r="I23" s="13"/>
      <c r="J23" s="13"/>
      <c r="K23" s="13"/>
      <c r="L23" s="13"/>
      <c r="M23" s="13" t="s">
        <v>3</v>
      </c>
      <c r="N23" s="13"/>
      <c r="O23" s="1">
        <f ca="1">+MOD(O17+SUMPRODUCT(Q21:T21,Q23:T23),2)</f>
        <v>1</v>
      </c>
      <c r="P23" s="13"/>
      <c r="Q23" s="1">
        <f ca="1">+MOD(Q17+R17,2)</f>
        <v>1</v>
      </c>
      <c r="R23" s="1">
        <f ca="1">+MOD(S17+T17,2)</f>
        <v>0</v>
      </c>
      <c r="S23" s="1">
        <f ca="1">+MOD(U17+V17,2)</f>
        <v>0</v>
      </c>
      <c r="T23" s="1">
        <f ca="1">+MOD(W17+X17,2)</f>
        <v>0</v>
      </c>
      <c r="U23" s="13" t="s">
        <v>14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spans="1:39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9" x14ac:dyDescent="0.3">
      <c r="A25" s="13"/>
      <c r="B25" s="13" t="s">
        <v>1</v>
      </c>
      <c r="C25" s="13"/>
      <c r="D25" s="1">
        <f ca="1">+MOD(D23+E23,2)</f>
        <v>0</v>
      </c>
      <c r="E25" s="1">
        <f ca="1">+MOD(F23+G23,2)</f>
        <v>0</v>
      </c>
      <c r="F25" s="13" t="s">
        <v>11</v>
      </c>
      <c r="G25" s="13"/>
      <c r="H25" s="13"/>
      <c r="I25" s="13"/>
      <c r="J25" s="13"/>
      <c r="K25" s="13"/>
      <c r="L25" s="13"/>
      <c r="M25" s="13" t="s">
        <v>1</v>
      </c>
      <c r="N25" s="13"/>
      <c r="O25" s="13"/>
      <c r="P25" s="13"/>
      <c r="Q25" s="1">
        <f ca="1">+IF(AND(NOT(Q23),R23),1,0)</f>
        <v>0</v>
      </c>
      <c r="R25" s="1">
        <f ca="1">+IF(AND(NOT(S23),T23),1,0)</f>
        <v>0</v>
      </c>
      <c r="S25" s="13" t="s">
        <v>13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9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9" x14ac:dyDescent="0.3">
      <c r="A27" s="13"/>
      <c r="B27" s="13" t="s">
        <v>2</v>
      </c>
      <c r="C27" s="13"/>
      <c r="D27" s="3">
        <f ca="1">+ROUND(RAND(),0)</f>
        <v>0</v>
      </c>
      <c r="E27" s="3">
        <f t="shared" ref="E27" ca="1" si="7">+ROUND(RAND(),0)</f>
        <v>1</v>
      </c>
      <c r="F27" s="13"/>
      <c r="G27" s="13"/>
      <c r="H27" s="13"/>
      <c r="I27" s="13"/>
      <c r="J27" s="13"/>
      <c r="K27" s="13"/>
      <c r="L27" s="13"/>
      <c r="M27" s="13" t="s">
        <v>2</v>
      </c>
      <c r="N27" s="13"/>
      <c r="O27" s="13"/>
      <c r="P27" s="13"/>
      <c r="Q27" s="3">
        <f ca="1">+IF(AND(Q25=1,D25=1),MOD(1+D27,2),D27)</f>
        <v>0</v>
      </c>
      <c r="R27" s="3">
        <f ca="1">+IF(AND(R25=1,E25=1),MOD(1+E27,2),E27)</f>
        <v>1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t="b">
        <f ca="1">+IF(AND(D25=1,Q25=1),NOT(D27=Q27),D27=Q27)</f>
        <v>1</v>
      </c>
      <c r="AK27" t="b">
        <f ca="1">+IF(AND(E25=1,R25=1),NOT(E27=R27),E27=R27)</f>
        <v>1</v>
      </c>
    </row>
    <row r="28" spans="1:39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9" x14ac:dyDescent="0.3">
      <c r="A29" s="13"/>
      <c r="B29" s="13" t="s">
        <v>3</v>
      </c>
      <c r="C29" s="13"/>
      <c r="D29" s="1">
        <f ca="1">+MOD(1+D27+D23,2)</f>
        <v>1</v>
      </c>
      <c r="E29" s="1">
        <f ca="1">+MOD(1+E27+F23,2)</f>
        <v>1</v>
      </c>
      <c r="F29" s="13" t="s">
        <v>18</v>
      </c>
      <c r="G29" s="13"/>
      <c r="H29" s="13"/>
      <c r="I29" s="13"/>
      <c r="J29" s="13"/>
      <c r="K29" s="13"/>
      <c r="L29" s="13"/>
      <c r="M29" s="13" t="s">
        <v>3</v>
      </c>
      <c r="N29" s="13"/>
      <c r="O29" s="1">
        <f ca="1">+MOD(O23+SUMPRODUCT(Q27:T27,Q29:T29),2)</f>
        <v>1</v>
      </c>
      <c r="P29" s="13"/>
      <c r="Q29" s="1">
        <f ca="1">+MOD(Q23+R23,2)</f>
        <v>1</v>
      </c>
      <c r="R29" s="1">
        <f ca="1">+MOD(S23+T23,2)</f>
        <v>0</v>
      </c>
      <c r="S29" s="13" t="s">
        <v>14</v>
      </c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9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9" x14ac:dyDescent="0.3">
      <c r="A31" s="13"/>
      <c r="B31" s="13" t="s">
        <v>1</v>
      </c>
      <c r="C31" s="13"/>
      <c r="D31" s="1">
        <f ca="1">+MOD(D29+E29,2)</f>
        <v>0</v>
      </c>
      <c r="E31" s="13" t="s">
        <v>11</v>
      </c>
      <c r="F31" s="13"/>
      <c r="G31" s="13"/>
      <c r="H31" s="13"/>
      <c r="I31" s="13"/>
      <c r="J31" s="13"/>
      <c r="K31" s="13"/>
      <c r="L31" s="13"/>
      <c r="M31" s="13" t="s">
        <v>1</v>
      </c>
      <c r="N31" s="13"/>
      <c r="O31" s="13"/>
      <c r="P31" s="13"/>
      <c r="Q31" s="1">
        <f ca="1">+IF(AND(NOT(Q29),R29),1,0)</f>
        <v>0</v>
      </c>
      <c r="R31" s="13" t="s">
        <v>13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9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36" x14ac:dyDescent="0.3">
      <c r="A33" s="13"/>
      <c r="B33" s="13" t="s">
        <v>2</v>
      </c>
      <c r="C33" s="13"/>
      <c r="D33" s="3">
        <f ca="1">+ROUND(RAND(),0)</f>
        <v>1</v>
      </c>
      <c r="E33" s="13"/>
      <c r="F33" s="13"/>
      <c r="G33" s="13"/>
      <c r="H33" s="13"/>
      <c r="I33" s="13"/>
      <c r="J33" s="13"/>
      <c r="K33" s="13"/>
      <c r="L33" s="13"/>
      <c r="M33" s="13" t="s">
        <v>2</v>
      </c>
      <c r="N33" s="13"/>
      <c r="O33" s="13"/>
      <c r="P33" s="13"/>
      <c r="Q33" s="3">
        <f ca="1">+IF(AND(Q31=1,D31=1),MOD(1+D33,2),D33)</f>
        <v>1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t="b">
        <f ca="1">+IF(AND(D31=1,Q31=1),NOT(D33=Q33),D33=Q33)</f>
        <v>1</v>
      </c>
    </row>
    <row r="34" spans="1:36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x14ac:dyDescent="0.3">
      <c r="A35" s="13"/>
      <c r="B35" s="13" t="s">
        <v>3</v>
      </c>
      <c r="C35" s="13"/>
      <c r="D35" s="1">
        <f ca="1">+MOD(1+D33+D29,2)</f>
        <v>1</v>
      </c>
      <c r="E35" s="13" t="s">
        <v>18</v>
      </c>
      <c r="F35" s="13"/>
      <c r="G35" s="13"/>
      <c r="H35" s="13"/>
      <c r="I35" s="13"/>
      <c r="J35" s="13"/>
      <c r="K35" s="13"/>
      <c r="L35" s="13"/>
      <c r="M35" s="13" t="s">
        <v>3</v>
      </c>
      <c r="N35" s="13"/>
      <c r="O35" s="1">
        <f ca="1">+MOD(O29+SUMPRODUCT(Q33:T33,Q35:T35),2)</f>
        <v>0</v>
      </c>
      <c r="P35" s="13"/>
      <c r="Q35" s="1">
        <f ca="1">+MOD(Q29+R29,2)</f>
        <v>1</v>
      </c>
      <c r="R35" s="13" t="s">
        <v>14</v>
      </c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ht="15" thickBot="1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ht="15" thickBot="1" x14ac:dyDescent="0.35">
      <c r="A37" s="13"/>
      <c r="B37" s="13" t="s">
        <v>4</v>
      </c>
      <c r="C37" s="13"/>
      <c r="D37" s="2">
        <f ca="1">+D35</f>
        <v>1</v>
      </c>
      <c r="E37" s="13"/>
      <c r="F37" s="13"/>
      <c r="G37" s="13"/>
      <c r="H37" s="13"/>
      <c r="I37" s="13"/>
      <c r="J37" s="13"/>
      <c r="K37" s="13"/>
      <c r="L37" s="13"/>
      <c r="M37" s="13" t="s">
        <v>16</v>
      </c>
      <c r="N37" s="13"/>
      <c r="O37" s="4">
        <f ca="1">+O35</f>
        <v>0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ht="15" thickBot="1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ht="15" thickBot="1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0" t="s">
        <v>17</v>
      </c>
      <c r="N39" s="11"/>
      <c r="O39" s="12" t="b">
        <f ca="1">+O35=SUMPRODUCT(Q9:AF9,D11:S11)</f>
        <v>1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B750-DE03-45E3-95DB-CA56FAF0931C}">
  <sheetPr codeName="Sheet6"/>
  <dimension ref="A1:AD27"/>
  <sheetViews>
    <sheetView zoomScale="70" zoomScaleNormal="70" workbookViewId="0">
      <selection activeCell="AD18" sqref="AD18"/>
    </sheetView>
  </sheetViews>
  <sheetFormatPr defaultColWidth="8.88671875" defaultRowHeight="14.4" x14ac:dyDescent="0.3"/>
  <cols>
    <col min="12" max="12" width="8.88671875" style="13"/>
    <col min="25" max="30" width="8.88671875" style="13"/>
  </cols>
  <sheetData>
    <row r="1" spans="1:24" s="13" customFormat="1" ht="15" thickBot="1" x14ac:dyDescent="0.35"/>
    <row r="2" spans="1:24" ht="15" thickBot="1" x14ac:dyDescent="0.35">
      <c r="A2" s="13"/>
      <c r="B2" s="13" t="s">
        <v>8</v>
      </c>
      <c r="C2" s="13"/>
      <c r="D2" s="5">
        <f ca="1">+ROUND(RAND(),0)</f>
        <v>1</v>
      </c>
      <c r="E2" s="6">
        <f t="shared" ref="E2:G2" ca="1" si="0">+ROUND(RAND(),0)</f>
        <v>1</v>
      </c>
      <c r="F2" s="6">
        <f t="shared" ca="1" si="0"/>
        <v>0</v>
      </c>
      <c r="G2" s="7">
        <f t="shared" ca="1" si="0"/>
        <v>0</v>
      </c>
      <c r="H2" s="13"/>
      <c r="I2" s="13"/>
      <c r="J2" s="13"/>
      <c r="K2" s="13"/>
      <c r="M2" s="14" t="s">
        <v>10</v>
      </c>
      <c r="N2" s="13"/>
      <c r="O2" s="13"/>
      <c r="P2" s="13"/>
      <c r="Q2" s="14">
        <v>0</v>
      </c>
      <c r="R2" s="14">
        <v>1</v>
      </c>
      <c r="S2" s="14">
        <v>2</v>
      </c>
      <c r="T2" s="14">
        <v>3</v>
      </c>
      <c r="U2" s="13"/>
      <c r="V2" s="13"/>
      <c r="W2" s="13"/>
      <c r="X2" s="13"/>
    </row>
    <row r="3" spans="1:24" ht="15" thickBot="1" x14ac:dyDescent="0.35">
      <c r="A3" s="13"/>
      <c r="B3" s="13" t="s">
        <v>9</v>
      </c>
      <c r="C3" s="13"/>
      <c r="D3" s="8">
        <f ca="1">+RANDBETWEEN(0,3)</f>
        <v>0</v>
      </c>
      <c r="E3" s="13"/>
      <c r="F3" s="13"/>
      <c r="G3" s="13"/>
      <c r="H3" s="13"/>
      <c r="I3" s="13"/>
      <c r="J3" s="13"/>
      <c r="K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ht="15" thickBot="1" x14ac:dyDescent="0.35">
      <c r="A4" s="13"/>
      <c r="B4" s="13" t="s">
        <v>15</v>
      </c>
      <c r="C4" s="13"/>
      <c r="D4" s="4">
        <f ca="1">+OFFSET(D2,0,D3)</f>
        <v>1</v>
      </c>
      <c r="E4" s="13"/>
      <c r="F4" s="13"/>
      <c r="G4" s="13"/>
      <c r="H4" s="13"/>
      <c r="I4" s="13"/>
      <c r="J4" s="13"/>
      <c r="K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s="13" customFormat="1" x14ac:dyDescent="0.3"/>
    <row r="6" spans="1:24" s="13" customFormat="1" x14ac:dyDescent="0.3">
      <c r="B6" s="13" t="s">
        <v>5</v>
      </c>
      <c r="M6" s="13" t="s">
        <v>6</v>
      </c>
    </row>
    <row r="7" spans="1:24" s="13" customFormat="1" x14ac:dyDescent="0.3"/>
    <row r="8" spans="1:24" s="13" customFormat="1" x14ac:dyDescent="0.3">
      <c r="B8" s="13" t="s">
        <v>0</v>
      </c>
      <c r="D8" s="1">
        <f ca="1">+D2</f>
        <v>1</v>
      </c>
      <c r="E8" s="1">
        <f t="shared" ref="E8:G8" ca="1" si="1">+E2</f>
        <v>1</v>
      </c>
      <c r="F8" s="1">
        <f t="shared" ca="1" si="1"/>
        <v>0</v>
      </c>
      <c r="G8" s="1">
        <f t="shared" ca="1" si="1"/>
        <v>0</v>
      </c>
      <c r="H8" s="13" t="s">
        <v>12</v>
      </c>
      <c r="M8" s="13" t="s">
        <v>7</v>
      </c>
      <c r="O8" s="9">
        <f ca="1">+D22</f>
        <v>0</v>
      </c>
      <c r="Q8" s="1">
        <f ca="1">+IF(Q2=$D3,1,0)</f>
        <v>1</v>
      </c>
      <c r="R8" s="1">
        <f t="shared" ref="R8:T8" ca="1" si="2">+IF(R2=$D3,1,0)</f>
        <v>0</v>
      </c>
      <c r="S8" s="1">
        <f t="shared" ca="1" si="2"/>
        <v>0</v>
      </c>
      <c r="T8" s="1">
        <f t="shared" ca="1" si="2"/>
        <v>0</v>
      </c>
      <c r="U8" s="13" t="s">
        <v>14</v>
      </c>
    </row>
    <row r="9" spans="1:24" s="13" customFormat="1" x14ac:dyDescent="0.3"/>
    <row r="10" spans="1:24" s="13" customFormat="1" x14ac:dyDescent="0.3">
      <c r="B10" s="13" t="s">
        <v>1</v>
      </c>
      <c r="D10" s="1">
        <f ca="1">+MOD(D8+E8,2)</f>
        <v>0</v>
      </c>
      <c r="E10" s="1">
        <f ca="1">+MOD(F8+G8,2)</f>
        <v>0</v>
      </c>
      <c r="F10" s="13" t="s">
        <v>11</v>
      </c>
      <c r="M10" s="13" t="s">
        <v>1</v>
      </c>
      <c r="Q10" s="1">
        <f ca="1">+IF(AND(NOT(Q8),R8),1,0)</f>
        <v>0</v>
      </c>
      <c r="R10" s="1">
        <f ca="1">+IF(AND(NOT(S8),T8),1,0)</f>
        <v>0</v>
      </c>
      <c r="S10" s="13" t="s">
        <v>13</v>
      </c>
    </row>
    <row r="11" spans="1:24" s="13" customFormat="1" x14ac:dyDescent="0.3"/>
    <row r="12" spans="1:24" s="13" customFormat="1" x14ac:dyDescent="0.3">
      <c r="B12" s="13" t="s">
        <v>2</v>
      </c>
      <c r="D12" s="3">
        <f ca="1">+ROUND(RAND(),0)</f>
        <v>1</v>
      </c>
      <c r="E12" s="3">
        <f t="shared" ref="E12" ca="1" si="3">+ROUND(RAND(),0)</f>
        <v>1</v>
      </c>
      <c r="M12" s="13" t="s">
        <v>2</v>
      </c>
      <c r="Q12" s="3">
        <f ca="1">+IF(AND(Q10=1,D10=1),MOD(1+D12,2),D12)</f>
        <v>1</v>
      </c>
      <c r="R12" s="3">
        <f ca="1">+IF(AND(R10=1,E10=1),MOD(1+E12,2),E12)</f>
        <v>1</v>
      </c>
    </row>
    <row r="13" spans="1:24" s="13" customFormat="1" x14ac:dyDescent="0.3"/>
    <row r="14" spans="1:24" s="13" customFormat="1" x14ac:dyDescent="0.3">
      <c r="B14" s="13" t="s">
        <v>3</v>
      </c>
      <c r="D14" s="1">
        <f ca="1">+MOD(D12+D8,2)</f>
        <v>0</v>
      </c>
      <c r="E14" s="1">
        <f ca="1">+MOD(E12+F8,2)</f>
        <v>1</v>
      </c>
      <c r="F14" s="13" t="s">
        <v>12</v>
      </c>
      <c r="M14" s="13" t="s">
        <v>3</v>
      </c>
      <c r="O14" s="1">
        <f ca="1">+MOD(O8+SUMPRODUCT(Q12:T12,Q14:T14),2)</f>
        <v>1</v>
      </c>
      <c r="Q14" s="1">
        <f ca="1">+MOD(Q8+R8,2)</f>
        <v>1</v>
      </c>
      <c r="R14" s="1">
        <f ca="1">+MOD(S8+T8,2)</f>
        <v>0</v>
      </c>
      <c r="S14" s="13" t="s">
        <v>14</v>
      </c>
    </row>
    <row r="15" spans="1:24" s="13" customFormat="1" x14ac:dyDescent="0.3"/>
    <row r="16" spans="1:24" s="13" customFormat="1" x14ac:dyDescent="0.3">
      <c r="B16" s="13" t="s">
        <v>1</v>
      </c>
      <c r="D16" s="1">
        <f ca="1">+MOD(D14+E14,2)</f>
        <v>1</v>
      </c>
      <c r="E16" s="13" t="s">
        <v>11</v>
      </c>
      <c r="M16" s="13" t="s">
        <v>1</v>
      </c>
      <c r="Q16" s="1">
        <f ca="1">+IF(AND(NOT(Q14),R14),1,0)</f>
        <v>0</v>
      </c>
      <c r="R16" s="13" t="s">
        <v>13</v>
      </c>
    </row>
    <row r="17" spans="2:18" s="13" customFormat="1" x14ac:dyDescent="0.3"/>
    <row r="18" spans="2:18" s="13" customFormat="1" x14ac:dyDescent="0.3">
      <c r="B18" s="13" t="s">
        <v>2</v>
      </c>
      <c r="D18" s="3">
        <f ca="1">+ROUND(RAND(),0)</f>
        <v>0</v>
      </c>
      <c r="M18" s="13" t="s">
        <v>2</v>
      </c>
      <c r="Q18" s="3">
        <f ca="1">+IF(AND(Q16=1,D16=1),MOD(1+D18,2),D18)</f>
        <v>0</v>
      </c>
    </row>
    <row r="19" spans="2:18" s="13" customFormat="1" x14ac:dyDescent="0.3"/>
    <row r="20" spans="2:18" s="13" customFormat="1" x14ac:dyDescent="0.3">
      <c r="B20" s="13" t="s">
        <v>3</v>
      </c>
      <c r="D20" s="1">
        <f ca="1">+MOD(D18+D14,2)</f>
        <v>0</v>
      </c>
      <c r="E20" s="13" t="s">
        <v>12</v>
      </c>
      <c r="M20" s="13" t="s">
        <v>3</v>
      </c>
      <c r="O20" s="1">
        <f ca="1">+MOD(O14+SUMPRODUCT(Q18:T18,Q20:T20),2)</f>
        <v>1</v>
      </c>
      <c r="Q20" s="1">
        <f ca="1">+MOD(Q14+R14,2)</f>
        <v>1</v>
      </c>
      <c r="R20" s="13" t="s">
        <v>14</v>
      </c>
    </row>
    <row r="21" spans="2:18" s="13" customFormat="1" ht="15" thickBot="1" x14ac:dyDescent="0.35"/>
    <row r="22" spans="2:18" s="13" customFormat="1" ht="15" thickBot="1" x14ac:dyDescent="0.35">
      <c r="B22" s="13" t="s">
        <v>4</v>
      </c>
      <c r="D22" s="2">
        <f ca="1">+D20</f>
        <v>0</v>
      </c>
      <c r="M22" s="13" t="s">
        <v>16</v>
      </c>
      <c r="O22" s="4">
        <f ca="1">+O20</f>
        <v>1</v>
      </c>
    </row>
    <row r="23" spans="2:18" s="13" customFormat="1" ht="15" thickBot="1" x14ac:dyDescent="0.35"/>
    <row r="24" spans="2:18" s="13" customFormat="1" ht="15" thickBot="1" x14ac:dyDescent="0.35">
      <c r="M24" s="10" t="s">
        <v>17</v>
      </c>
      <c r="N24" s="11"/>
      <c r="O24" s="12" t="b">
        <f ca="1">+O20=SUMPRODUCT(Q8:T8,D8:G8)</f>
        <v>1</v>
      </c>
    </row>
    <row r="25" spans="2:18" s="13" customFormat="1" x14ac:dyDescent="0.3"/>
    <row r="26" spans="2:18" s="13" customFormat="1" x14ac:dyDescent="0.3"/>
    <row r="27" spans="2:18" s="13" customFormat="1" x14ac:dyDescent="0.3"/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F6F80FD2-C12F-42D4-B161-EC42684C5897}">
  <ds:schemaRefs/>
</ds:datastoreItem>
</file>

<file path=customXml/itemProps2.xml><?xml version="1.0" encoding="utf-8"?>
<ds:datastoreItem xmlns:ds="http://schemas.openxmlformats.org/officeDocument/2006/customXml" ds:itemID="{D935B92B-7CB7-4F33-8A9E-9593CFA73A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Field2,eq=0</vt:lpstr>
      <vt:lpstr>Field8,eq=0</vt:lpstr>
      <vt:lpstr>Field8,eq=1</vt:lpstr>
      <vt:lpstr>Field16,eq=0</vt:lpstr>
      <vt:lpstr>Field16,eq=1</vt:lpstr>
      <vt:lpstr>Fiel48,eq=0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Hendriks, Rob</dc:creator>
  <cp:lastModifiedBy>Hendriks, Rob</cp:lastModifiedBy>
  <dcterms:created xsi:type="dcterms:W3CDTF">2025-09-06T05:07:04Z</dcterms:created>
  <dcterms:modified xsi:type="dcterms:W3CDTF">2026-03-24T06:06:59Z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637652993277589542</vt:lpwstr>
  </property>
  <property fmtid="{D5CDD505-2E9C-101B-9397-08002B2CF9AE}" pid="5" name="TemplafyFromBlank">
    <vt:bool>true</vt:bool>
  </property>
</Properties>
</file>